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portesvigiaco-my.sharepoint.com/personal/coordinaciongeneralvse_vigiaespecial_com/Documents/01 - COORDINACIÓN/08.CAROLINA RODRIGUEZ/KOA/MESAS DE TRABAJO/"/>
    </mc:Choice>
  </mc:AlternateContent>
  <xr:revisionPtr revIDLastSave="258" documentId="8_{209900E7-A59D-4DE4-B6B7-1BA90CA84D6D}" xr6:coauthVersionLast="47" xr6:coauthVersionMax="47" xr10:uidLastSave="{EFDD5393-BBC1-4126-9BBB-25CF42A5C846}"/>
  <bookViews>
    <workbookView xWindow="-120" yWindow="-120" windowWidth="20730" windowHeight="11040" firstSheet="3" activeTab="3" xr2:uid="{BD46A73F-3B10-4B28-AB59-44FC2EA30D0B}"/>
  </bookViews>
  <sheets>
    <sheet name="dinamica" sheetId="1" state="hidden" r:id="rId1"/>
    <sheet name="Hoja1" sheetId="3" state="hidden" r:id="rId2"/>
    <sheet name="fest" sheetId="4" state="hidden" r:id="rId3"/>
    <sheet name="seguimiento_h_op" sheetId="2" r:id="rId4"/>
  </sheets>
  <definedNames>
    <definedName name="_xlnm._FilterDatabase" localSheetId="3" hidden="1">seguimiento_h_op!$A$1:$S$487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0" i="2" l="1"/>
  <c r="L450" i="2"/>
  <c r="N438" i="2"/>
  <c r="L438" i="2"/>
  <c r="O438" i="2" s="1"/>
  <c r="N436" i="2"/>
  <c r="L436" i="2"/>
  <c r="O436" i="2" s="1"/>
  <c r="N426" i="2"/>
  <c r="L426" i="2"/>
  <c r="N402" i="2"/>
  <c r="L402" i="2"/>
  <c r="N396" i="2"/>
  <c r="L396" i="2"/>
  <c r="O396" i="2" s="1"/>
  <c r="N282" i="2"/>
  <c r="L282" i="2"/>
  <c r="N240" i="2"/>
  <c r="L240" i="2"/>
  <c r="N228" i="2"/>
  <c r="L228" i="2"/>
  <c r="N181" i="2"/>
  <c r="L181" i="2"/>
  <c r="N175" i="2"/>
  <c r="L175" i="2"/>
  <c r="O175" i="2" s="1"/>
  <c r="N132" i="2"/>
  <c r="L132" i="2"/>
  <c r="N120" i="2"/>
  <c r="L120" i="2"/>
  <c r="N97" i="2"/>
  <c r="L97" i="2"/>
  <c r="N91" i="2"/>
  <c r="L91" i="2"/>
  <c r="N66" i="2"/>
  <c r="L66" i="2"/>
  <c r="N60" i="2"/>
  <c r="L60" i="2"/>
  <c r="L451" i="2"/>
  <c r="I3" i="2"/>
  <c r="H3" i="2" s="1"/>
  <c r="I4" i="2"/>
  <c r="H4" i="2" s="1"/>
  <c r="I5" i="2"/>
  <c r="H5" i="2" s="1"/>
  <c r="I6" i="2"/>
  <c r="H6" i="2" s="1"/>
  <c r="I7" i="2"/>
  <c r="I8" i="2"/>
  <c r="H8" i="2" s="1"/>
  <c r="I9" i="2"/>
  <c r="H9" i="2" s="1"/>
  <c r="I10" i="2"/>
  <c r="I11" i="2"/>
  <c r="H11" i="2" s="1"/>
  <c r="I12" i="2"/>
  <c r="H12" i="2" s="1"/>
  <c r="I13" i="2"/>
  <c r="I14" i="2"/>
  <c r="H14" i="2" s="1"/>
  <c r="I15" i="2"/>
  <c r="H15" i="2" s="1"/>
  <c r="I16" i="2"/>
  <c r="I17" i="2"/>
  <c r="H17" i="2" s="1"/>
  <c r="I18" i="2"/>
  <c r="H18" i="2" s="1"/>
  <c r="I19" i="2"/>
  <c r="I20" i="2"/>
  <c r="H20" i="2" s="1"/>
  <c r="I21" i="2"/>
  <c r="H21" i="2" s="1"/>
  <c r="I22" i="2"/>
  <c r="I23" i="2"/>
  <c r="H23" i="2" s="1"/>
  <c r="I24" i="2"/>
  <c r="H24" i="2" s="1"/>
  <c r="I25" i="2"/>
  <c r="I26" i="2"/>
  <c r="H26" i="2" s="1"/>
  <c r="I27" i="2"/>
  <c r="H27" i="2" s="1"/>
  <c r="I28" i="2"/>
  <c r="I29" i="2"/>
  <c r="H29" i="2" s="1"/>
  <c r="I30" i="2"/>
  <c r="H30" i="2" s="1"/>
  <c r="I31" i="2"/>
  <c r="I32" i="2"/>
  <c r="H32" i="2" s="1"/>
  <c r="I33" i="2"/>
  <c r="H33" i="2" s="1"/>
  <c r="I34" i="2"/>
  <c r="I35" i="2"/>
  <c r="H35" i="2" s="1"/>
  <c r="I36" i="2"/>
  <c r="H36" i="2" s="1"/>
  <c r="I37" i="2"/>
  <c r="I38" i="2"/>
  <c r="H38" i="2" s="1"/>
  <c r="I39" i="2"/>
  <c r="H39" i="2" s="1"/>
  <c r="I40" i="2"/>
  <c r="I41" i="2"/>
  <c r="H41" i="2" s="1"/>
  <c r="I42" i="2"/>
  <c r="H42" i="2" s="1"/>
  <c r="I43" i="2"/>
  <c r="I44" i="2"/>
  <c r="H44" i="2" s="1"/>
  <c r="I45" i="2"/>
  <c r="H45" i="2" s="1"/>
  <c r="I46" i="2"/>
  <c r="I47" i="2"/>
  <c r="H47" i="2" s="1"/>
  <c r="I48" i="2"/>
  <c r="H48" i="2" s="1"/>
  <c r="I49" i="2"/>
  <c r="I50" i="2"/>
  <c r="H50" i="2" s="1"/>
  <c r="I51" i="2"/>
  <c r="H51" i="2" s="1"/>
  <c r="I52" i="2"/>
  <c r="I53" i="2"/>
  <c r="H53" i="2" s="1"/>
  <c r="I54" i="2"/>
  <c r="H54" i="2" s="1"/>
  <c r="I55" i="2"/>
  <c r="I56" i="2"/>
  <c r="H56" i="2" s="1"/>
  <c r="I57" i="2"/>
  <c r="H57" i="2" s="1"/>
  <c r="I58" i="2"/>
  <c r="I59" i="2"/>
  <c r="H59" i="2" s="1"/>
  <c r="I60" i="2"/>
  <c r="H60" i="2" s="1"/>
  <c r="I61" i="2"/>
  <c r="I62" i="2"/>
  <c r="H62" i="2" s="1"/>
  <c r="I63" i="2"/>
  <c r="H63" i="2" s="1"/>
  <c r="I64" i="2"/>
  <c r="I65" i="2"/>
  <c r="H65" i="2" s="1"/>
  <c r="I66" i="2"/>
  <c r="H66" i="2" s="1"/>
  <c r="I67" i="2"/>
  <c r="I68" i="2"/>
  <c r="H68" i="2" s="1"/>
  <c r="I69" i="2"/>
  <c r="H69" i="2" s="1"/>
  <c r="I70" i="2"/>
  <c r="I71" i="2"/>
  <c r="H71" i="2" s="1"/>
  <c r="I72" i="2"/>
  <c r="H72" i="2" s="1"/>
  <c r="I73" i="2"/>
  <c r="I74" i="2"/>
  <c r="H74" i="2" s="1"/>
  <c r="I75" i="2"/>
  <c r="H75" i="2" s="1"/>
  <c r="I76" i="2"/>
  <c r="I77" i="2"/>
  <c r="H77" i="2" s="1"/>
  <c r="I78" i="2"/>
  <c r="H78" i="2" s="1"/>
  <c r="I79" i="2"/>
  <c r="I80" i="2"/>
  <c r="H80" i="2" s="1"/>
  <c r="I81" i="2"/>
  <c r="H81" i="2" s="1"/>
  <c r="I82" i="2"/>
  <c r="I83" i="2"/>
  <c r="H83" i="2" s="1"/>
  <c r="I84" i="2"/>
  <c r="H84" i="2" s="1"/>
  <c r="I85" i="2"/>
  <c r="I86" i="2"/>
  <c r="H86" i="2" s="1"/>
  <c r="I87" i="2"/>
  <c r="H87" i="2" s="1"/>
  <c r="I88" i="2"/>
  <c r="I89" i="2"/>
  <c r="H89" i="2" s="1"/>
  <c r="I90" i="2"/>
  <c r="H90" i="2" s="1"/>
  <c r="I91" i="2"/>
  <c r="I92" i="2"/>
  <c r="H92" i="2" s="1"/>
  <c r="I93" i="2"/>
  <c r="H93" i="2" s="1"/>
  <c r="I94" i="2"/>
  <c r="I95" i="2"/>
  <c r="H95" i="2" s="1"/>
  <c r="I96" i="2"/>
  <c r="H96" i="2" s="1"/>
  <c r="I97" i="2"/>
  <c r="I98" i="2"/>
  <c r="H98" i="2" s="1"/>
  <c r="I99" i="2"/>
  <c r="H99" i="2" s="1"/>
  <c r="I100" i="2"/>
  <c r="I101" i="2"/>
  <c r="H101" i="2" s="1"/>
  <c r="I102" i="2"/>
  <c r="H102" i="2" s="1"/>
  <c r="I103" i="2"/>
  <c r="I104" i="2"/>
  <c r="H104" i="2" s="1"/>
  <c r="I105" i="2"/>
  <c r="H105" i="2" s="1"/>
  <c r="I106" i="2"/>
  <c r="I107" i="2"/>
  <c r="H107" i="2" s="1"/>
  <c r="I108" i="2"/>
  <c r="H108" i="2" s="1"/>
  <c r="I109" i="2"/>
  <c r="I110" i="2"/>
  <c r="H110" i="2" s="1"/>
  <c r="I111" i="2"/>
  <c r="H111" i="2" s="1"/>
  <c r="I112" i="2"/>
  <c r="I113" i="2"/>
  <c r="H113" i="2" s="1"/>
  <c r="I114" i="2"/>
  <c r="H114" i="2" s="1"/>
  <c r="I115" i="2"/>
  <c r="I116" i="2"/>
  <c r="H116" i="2" s="1"/>
  <c r="I117" i="2"/>
  <c r="I118" i="2"/>
  <c r="I119" i="2"/>
  <c r="H119" i="2" s="1"/>
  <c r="I120" i="2"/>
  <c r="H120" i="2" s="1"/>
  <c r="I121" i="2"/>
  <c r="I122" i="2"/>
  <c r="H122" i="2" s="1"/>
  <c r="I123" i="2"/>
  <c r="H123" i="2" s="1"/>
  <c r="I124" i="2"/>
  <c r="I125" i="2"/>
  <c r="H125" i="2" s="1"/>
  <c r="I126" i="2"/>
  <c r="H126" i="2" s="1"/>
  <c r="I127" i="2"/>
  <c r="I128" i="2"/>
  <c r="H128" i="2" s="1"/>
  <c r="I129" i="2"/>
  <c r="H129" i="2" s="1"/>
  <c r="I130" i="2"/>
  <c r="I131" i="2"/>
  <c r="H131" i="2" s="1"/>
  <c r="I132" i="2"/>
  <c r="H132" i="2" s="1"/>
  <c r="I133" i="2"/>
  <c r="I134" i="2"/>
  <c r="H134" i="2" s="1"/>
  <c r="I135" i="2"/>
  <c r="H135" i="2" s="1"/>
  <c r="I136" i="2"/>
  <c r="I137" i="2"/>
  <c r="H137" i="2" s="1"/>
  <c r="I138" i="2"/>
  <c r="H138" i="2" s="1"/>
  <c r="I139" i="2"/>
  <c r="I140" i="2"/>
  <c r="H140" i="2" s="1"/>
  <c r="I141" i="2"/>
  <c r="H141" i="2" s="1"/>
  <c r="I142" i="2"/>
  <c r="I143" i="2"/>
  <c r="H143" i="2" s="1"/>
  <c r="I144" i="2"/>
  <c r="H144" i="2" s="1"/>
  <c r="I145" i="2"/>
  <c r="I146" i="2"/>
  <c r="H146" i="2" s="1"/>
  <c r="I147" i="2"/>
  <c r="H147" i="2" s="1"/>
  <c r="I148" i="2"/>
  <c r="I149" i="2"/>
  <c r="H149" i="2" s="1"/>
  <c r="I150" i="2"/>
  <c r="H150" i="2" s="1"/>
  <c r="I151" i="2"/>
  <c r="I152" i="2"/>
  <c r="H152" i="2" s="1"/>
  <c r="I153" i="2"/>
  <c r="H153" i="2" s="1"/>
  <c r="I154" i="2"/>
  <c r="I155" i="2"/>
  <c r="H155" i="2" s="1"/>
  <c r="I156" i="2"/>
  <c r="H156" i="2" s="1"/>
  <c r="I157" i="2"/>
  <c r="I158" i="2"/>
  <c r="H158" i="2" s="1"/>
  <c r="I159" i="2"/>
  <c r="H159" i="2" s="1"/>
  <c r="I160" i="2"/>
  <c r="I161" i="2"/>
  <c r="H161" i="2" s="1"/>
  <c r="I162" i="2"/>
  <c r="H162" i="2" s="1"/>
  <c r="I163" i="2"/>
  <c r="I164" i="2"/>
  <c r="H164" i="2" s="1"/>
  <c r="I165" i="2"/>
  <c r="H165" i="2" s="1"/>
  <c r="I166" i="2"/>
  <c r="I167" i="2"/>
  <c r="H167" i="2" s="1"/>
  <c r="I168" i="2"/>
  <c r="H168" i="2" s="1"/>
  <c r="I169" i="2"/>
  <c r="I170" i="2"/>
  <c r="H170" i="2" s="1"/>
  <c r="I171" i="2"/>
  <c r="H171" i="2" s="1"/>
  <c r="I172" i="2"/>
  <c r="I173" i="2"/>
  <c r="H173" i="2" s="1"/>
  <c r="I174" i="2"/>
  <c r="H174" i="2" s="1"/>
  <c r="I175" i="2"/>
  <c r="I176" i="2"/>
  <c r="H176" i="2" s="1"/>
  <c r="I177" i="2"/>
  <c r="H177" i="2" s="1"/>
  <c r="I178" i="2"/>
  <c r="I179" i="2"/>
  <c r="H179" i="2" s="1"/>
  <c r="I180" i="2"/>
  <c r="H180" i="2" s="1"/>
  <c r="I181" i="2"/>
  <c r="I182" i="2"/>
  <c r="H182" i="2" s="1"/>
  <c r="I183" i="2"/>
  <c r="H183" i="2" s="1"/>
  <c r="I184" i="2"/>
  <c r="I185" i="2"/>
  <c r="H185" i="2" s="1"/>
  <c r="I186" i="2"/>
  <c r="H186" i="2" s="1"/>
  <c r="I187" i="2"/>
  <c r="I188" i="2"/>
  <c r="H188" i="2" s="1"/>
  <c r="I189" i="2"/>
  <c r="H189" i="2" s="1"/>
  <c r="I190" i="2"/>
  <c r="I191" i="2"/>
  <c r="H191" i="2" s="1"/>
  <c r="I192" i="2"/>
  <c r="H192" i="2" s="1"/>
  <c r="I193" i="2"/>
  <c r="I194" i="2"/>
  <c r="H194" i="2" s="1"/>
  <c r="I195" i="2"/>
  <c r="H195" i="2" s="1"/>
  <c r="I196" i="2"/>
  <c r="I197" i="2"/>
  <c r="H197" i="2" s="1"/>
  <c r="I198" i="2"/>
  <c r="H198" i="2" s="1"/>
  <c r="I199" i="2"/>
  <c r="I200" i="2"/>
  <c r="H200" i="2" s="1"/>
  <c r="I201" i="2"/>
  <c r="H201" i="2" s="1"/>
  <c r="I202" i="2"/>
  <c r="I203" i="2"/>
  <c r="H203" i="2" s="1"/>
  <c r="I204" i="2"/>
  <c r="H204" i="2" s="1"/>
  <c r="I205" i="2"/>
  <c r="I206" i="2"/>
  <c r="H206" i="2" s="1"/>
  <c r="I207" i="2"/>
  <c r="H207" i="2" s="1"/>
  <c r="I208" i="2"/>
  <c r="I209" i="2"/>
  <c r="H209" i="2" s="1"/>
  <c r="I210" i="2"/>
  <c r="H210" i="2" s="1"/>
  <c r="I211" i="2"/>
  <c r="I212" i="2"/>
  <c r="H212" i="2" s="1"/>
  <c r="I213" i="2"/>
  <c r="H213" i="2" s="1"/>
  <c r="I214" i="2"/>
  <c r="I215" i="2"/>
  <c r="H215" i="2" s="1"/>
  <c r="I216" i="2"/>
  <c r="H216" i="2" s="1"/>
  <c r="I217" i="2"/>
  <c r="I218" i="2"/>
  <c r="H218" i="2" s="1"/>
  <c r="I219" i="2"/>
  <c r="H219" i="2" s="1"/>
  <c r="I220" i="2"/>
  <c r="I221" i="2"/>
  <c r="H221" i="2" s="1"/>
  <c r="I222" i="2"/>
  <c r="H222" i="2" s="1"/>
  <c r="I223" i="2"/>
  <c r="I224" i="2"/>
  <c r="H224" i="2" s="1"/>
  <c r="I225" i="2"/>
  <c r="H225" i="2" s="1"/>
  <c r="I226" i="2"/>
  <c r="I227" i="2"/>
  <c r="H227" i="2" s="1"/>
  <c r="I228" i="2"/>
  <c r="H228" i="2" s="1"/>
  <c r="I229" i="2"/>
  <c r="I230" i="2"/>
  <c r="H230" i="2" s="1"/>
  <c r="I231" i="2"/>
  <c r="H231" i="2" s="1"/>
  <c r="I232" i="2"/>
  <c r="I233" i="2"/>
  <c r="H233" i="2" s="1"/>
  <c r="I234" i="2"/>
  <c r="H234" i="2" s="1"/>
  <c r="I235" i="2"/>
  <c r="I236" i="2"/>
  <c r="H236" i="2" s="1"/>
  <c r="I237" i="2"/>
  <c r="H237" i="2" s="1"/>
  <c r="I238" i="2"/>
  <c r="I239" i="2"/>
  <c r="H239" i="2" s="1"/>
  <c r="I240" i="2"/>
  <c r="H240" i="2" s="1"/>
  <c r="I241" i="2"/>
  <c r="I242" i="2"/>
  <c r="H242" i="2" s="1"/>
  <c r="I243" i="2"/>
  <c r="H243" i="2" s="1"/>
  <c r="I244" i="2"/>
  <c r="I245" i="2"/>
  <c r="H245" i="2" s="1"/>
  <c r="I246" i="2"/>
  <c r="H246" i="2" s="1"/>
  <c r="I247" i="2"/>
  <c r="I248" i="2"/>
  <c r="H248" i="2" s="1"/>
  <c r="I249" i="2"/>
  <c r="H249" i="2" s="1"/>
  <c r="I250" i="2"/>
  <c r="I251" i="2"/>
  <c r="H251" i="2" s="1"/>
  <c r="I252" i="2"/>
  <c r="H252" i="2" s="1"/>
  <c r="I253" i="2"/>
  <c r="I254" i="2"/>
  <c r="H254" i="2" s="1"/>
  <c r="I255" i="2"/>
  <c r="H255" i="2" s="1"/>
  <c r="I256" i="2"/>
  <c r="I257" i="2"/>
  <c r="H257" i="2" s="1"/>
  <c r="I258" i="2"/>
  <c r="H258" i="2" s="1"/>
  <c r="I259" i="2"/>
  <c r="I260" i="2"/>
  <c r="H260" i="2" s="1"/>
  <c r="I261" i="2"/>
  <c r="H261" i="2" s="1"/>
  <c r="I262" i="2"/>
  <c r="I263" i="2"/>
  <c r="H263" i="2" s="1"/>
  <c r="I264" i="2"/>
  <c r="H264" i="2" s="1"/>
  <c r="I265" i="2"/>
  <c r="I266" i="2"/>
  <c r="H266" i="2" s="1"/>
  <c r="I267" i="2"/>
  <c r="H267" i="2" s="1"/>
  <c r="I268" i="2"/>
  <c r="I269" i="2"/>
  <c r="H269" i="2" s="1"/>
  <c r="I270" i="2"/>
  <c r="H270" i="2" s="1"/>
  <c r="I271" i="2"/>
  <c r="I272" i="2"/>
  <c r="H272" i="2" s="1"/>
  <c r="I273" i="2"/>
  <c r="H273" i="2" s="1"/>
  <c r="I274" i="2"/>
  <c r="I275" i="2"/>
  <c r="H275" i="2" s="1"/>
  <c r="I276" i="2"/>
  <c r="H276" i="2" s="1"/>
  <c r="I277" i="2"/>
  <c r="I278" i="2"/>
  <c r="H278" i="2" s="1"/>
  <c r="I279" i="2"/>
  <c r="H279" i="2" s="1"/>
  <c r="I280" i="2"/>
  <c r="I281" i="2"/>
  <c r="H281" i="2" s="1"/>
  <c r="I282" i="2"/>
  <c r="H282" i="2" s="1"/>
  <c r="I283" i="2"/>
  <c r="I284" i="2"/>
  <c r="H284" i="2" s="1"/>
  <c r="I285" i="2"/>
  <c r="H285" i="2" s="1"/>
  <c r="I286" i="2"/>
  <c r="I287" i="2"/>
  <c r="H287" i="2" s="1"/>
  <c r="I288" i="2"/>
  <c r="H288" i="2" s="1"/>
  <c r="I289" i="2"/>
  <c r="I290" i="2"/>
  <c r="H290" i="2" s="1"/>
  <c r="I291" i="2"/>
  <c r="H291" i="2" s="1"/>
  <c r="I292" i="2"/>
  <c r="I293" i="2"/>
  <c r="H293" i="2" s="1"/>
  <c r="I294" i="2"/>
  <c r="H294" i="2" s="1"/>
  <c r="I295" i="2"/>
  <c r="I296" i="2"/>
  <c r="H296" i="2" s="1"/>
  <c r="I297" i="2"/>
  <c r="H297" i="2" s="1"/>
  <c r="I298" i="2"/>
  <c r="I299" i="2"/>
  <c r="H299" i="2" s="1"/>
  <c r="I300" i="2"/>
  <c r="H300" i="2" s="1"/>
  <c r="I301" i="2"/>
  <c r="I302" i="2"/>
  <c r="H302" i="2" s="1"/>
  <c r="I303" i="2"/>
  <c r="H303" i="2" s="1"/>
  <c r="I304" i="2"/>
  <c r="I305" i="2"/>
  <c r="H305" i="2" s="1"/>
  <c r="I306" i="2"/>
  <c r="H306" i="2" s="1"/>
  <c r="I307" i="2"/>
  <c r="I308" i="2"/>
  <c r="H308" i="2" s="1"/>
  <c r="I309" i="2"/>
  <c r="H309" i="2" s="1"/>
  <c r="I310" i="2"/>
  <c r="I311" i="2"/>
  <c r="H311" i="2" s="1"/>
  <c r="I312" i="2"/>
  <c r="H312" i="2" s="1"/>
  <c r="I313" i="2"/>
  <c r="I314" i="2"/>
  <c r="H314" i="2" s="1"/>
  <c r="I315" i="2"/>
  <c r="H315" i="2" s="1"/>
  <c r="I316" i="2"/>
  <c r="I317" i="2"/>
  <c r="H317" i="2" s="1"/>
  <c r="I318" i="2"/>
  <c r="H318" i="2" s="1"/>
  <c r="I319" i="2"/>
  <c r="I320" i="2"/>
  <c r="H320" i="2" s="1"/>
  <c r="I321" i="2"/>
  <c r="H321" i="2" s="1"/>
  <c r="I322" i="2"/>
  <c r="I323" i="2"/>
  <c r="H323" i="2" s="1"/>
  <c r="I324" i="2"/>
  <c r="H324" i="2" s="1"/>
  <c r="I325" i="2"/>
  <c r="I326" i="2"/>
  <c r="H326" i="2" s="1"/>
  <c r="I327" i="2"/>
  <c r="H327" i="2" s="1"/>
  <c r="I328" i="2"/>
  <c r="I329" i="2"/>
  <c r="H329" i="2" s="1"/>
  <c r="I330" i="2"/>
  <c r="H330" i="2" s="1"/>
  <c r="I331" i="2"/>
  <c r="I332" i="2"/>
  <c r="H332" i="2" s="1"/>
  <c r="I333" i="2"/>
  <c r="H333" i="2" s="1"/>
  <c r="I334" i="2"/>
  <c r="I335" i="2"/>
  <c r="H335" i="2" s="1"/>
  <c r="I336" i="2"/>
  <c r="H336" i="2" s="1"/>
  <c r="I337" i="2"/>
  <c r="I338" i="2"/>
  <c r="H338" i="2" s="1"/>
  <c r="I339" i="2"/>
  <c r="H339" i="2" s="1"/>
  <c r="I340" i="2"/>
  <c r="I341" i="2"/>
  <c r="H341" i="2" s="1"/>
  <c r="I342" i="2"/>
  <c r="H342" i="2" s="1"/>
  <c r="I343" i="2"/>
  <c r="I344" i="2"/>
  <c r="H344" i="2" s="1"/>
  <c r="I345" i="2"/>
  <c r="H345" i="2" s="1"/>
  <c r="I346" i="2"/>
  <c r="I347" i="2"/>
  <c r="H347" i="2" s="1"/>
  <c r="I348" i="2"/>
  <c r="H348" i="2" s="1"/>
  <c r="I349" i="2"/>
  <c r="I350" i="2"/>
  <c r="H350" i="2" s="1"/>
  <c r="I351" i="2"/>
  <c r="H351" i="2" s="1"/>
  <c r="I352" i="2"/>
  <c r="I353" i="2"/>
  <c r="H353" i="2" s="1"/>
  <c r="I354" i="2"/>
  <c r="H354" i="2" s="1"/>
  <c r="I355" i="2"/>
  <c r="I356" i="2"/>
  <c r="H356" i="2" s="1"/>
  <c r="I357" i="2"/>
  <c r="H357" i="2" s="1"/>
  <c r="I358" i="2"/>
  <c r="I359" i="2"/>
  <c r="H359" i="2" s="1"/>
  <c r="I360" i="2"/>
  <c r="H360" i="2" s="1"/>
  <c r="I361" i="2"/>
  <c r="I362" i="2"/>
  <c r="H362" i="2" s="1"/>
  <c r="I363" i="2"/>
  <c r="H363" i="2" s="1"/>
  <c r="I364" i="2"/>
  <c r="I365" i="2"/>
  <c r="H365" i="2" s="1"/>
  <c r="I366" i="2"/>
  <c r="H366" i="2" s="1"/>
  <c r="I367" i="2"/>
  <c r="I368" i="2"/>
  <c r="H368" i="2" s="1"/>
  <c r="I369" i="2"/>
  <c r="H369" i="2" s="1"/>
  <c r="I370" i="2"/>
  <c r="I371" i="2"/>
  <c r="H371" i="2" s="1"/>
  <c r="I372" i="2"/>
  <c r="H372" i="2" s="1"/>
  <c r="I373" i="2"/>
  <c r="I374" i="2"/>
  <c r="H374" i="2" s="1"/>
  <c r="I375" i="2"/>
  <c r="H375" i="2" s="1"/>
  <c r="I376" i="2"/>
  <c r="I377" i="2"/>
  <c r="H377" i="2" s="1"/>
  <c r="I378" i="2"/>
  <c r="H378" i="2" s="1"/>
  <c r="I379" i="2"/>
  <c r="I380" i="2"/>
  <c r="H380" i="2" s="1"/>
  <c r="I381" i="2"/>
  <c r="H381" i="2" s="1"/>
  <c r="I382" i="2"/>
  <c r="I383" i="2"/>
  <c r="H383" i="2" s="1"/>
  <c r="I384" i="2"/>
  <c r="H384" i="2" s="1"/>
  <c r="I385" i="2"/>
  <c r="I386" i="2"/>
  <c r="H386" i="2" s="1"/>
  <c r="I387" i="2"/>
  <c r="H387" i="2" s="1"/>
  <c r="I388" i="2"/>
  <c r="I389" i="2"/>
  <c r="H389" i="2" s="1"/>
  <c r="I390" i="2"/>
  <c r="H390" i="2" s="1"/>
  <c r="I391" i="2"/>
  <c r="I392" i="2"/>
  <c r="H392" i="2" s="1"/>
  <c r="I393" i="2"/>
  <c r="H393" i="2" s="1"/>
  <c r="I394" i="2"/>
  <c r="I395" i="2"/>
  <c r="H395" i="2" s="1"/>
  <c r="I396" i="2"/>
  <c r="H396" i="2" s="1"/>
  <c r="I397" i="2"/>
  <c r="I398" i="2"/>
  <c r="H398" i="2" s="1"/>
  <c r="I399" i="2"/>
  <c r="H399" i="2" s="1"/>
  <c r="I400" i="2"/>
  <c r="I401" i="2"/>
  <c r="H401" i="2" s="1"/>
  <c r="I402" i="2"/>
  <c r="H402" i="2" s="1"/>
  <c r="I403" i="2"/>
  <c r="I404" i="2"/>
  <c r="H404" i="2" s="1"/>
  <c r="I405" i="2"/>
  <c r="H405" i="2" s="1"/>
  <c r="I406" i="2"/>
  <c r="I407" i="2"/>
  <c r="H407" i="2" s="1"/>
  <c r="I408" i="2"/>
  <c r="H408" i="2" s="1"/>
  <c r="I409" i="2"/>
  <c r="I410" i="2"/>
  <c r="H410" i="2" s="1"/>
  <c r="I411" i="2"/>
  <c r="H411" i="2" s="1"/>
  <c r="I412" i="2"/>
  <c r="I413" i="2"/>
  <c r="H413" i="2" s="1"/>
  <c r="I414" i="2"/>
  <c r="H414" i="2" s="1"/>
  <c r="I415" i="2"/>
  <c r="I416" i="2"/>
  <c r="H416" i="2" s="1"/>
  <c r="I417" i="2"/>
  <c r="H417" i="2" s="1"/>
  <c r="I418" i="2"/>
  <c r="I419" i="2"/>
  <c r="H419" i="2" s="1"/>
  <c r="I420" i="2"/>
  <c r="H420" i="2" s="1"/>
  <c r="I421" i="2"/>
  <c r="I422" i="2"/>
  <c r="H422" i="2" s="1"/>
  <c r="I423" i="2"/>
  <c r="H423" i="2" s="1"/>
  <c r="I424" i="2"/>
  <c r="I425" i="2"/>
  <c r="H425" i="2" s="1"/>
  <c r="I426" i="2"/>
  <c r="H426" i="2" s="1"/>
  <c r="I427" i="2"/>
  <c r="I428" i="2"/>
  <c r="H428" i="2" s="1"/>
  <c r="I429" i="2"/>
  <c r="H429" i="2" s="1"/>
  <c r="I430" i="2"/>
  <c r="I431" i="2"/>
  <c r="H431" i="2" s="1"/>
  <c r="I432" i="2"/>
  <c r="H432" i="2" s="1"/>
  <c r="I433" i="2"/>
  <c r="I434" i="2"/>
  <c r="H434" i="2" s="1"/>
  <c r="I435" i="2"/>
  <c r="H435" i="2" s="1"/>
  <c r="I436" i="2"/>
  <c r="I437" i="2"/>
  <c r="H437" i="2" s="1"/>
  <c r="I438" i="2"/>
  <c r="H438" i="2" s="1"/>
  <c r="I439" i="2"/>
  <c r="I440" i="2"/>
  <c r="H440" i="2" s="1"/>
  <c r="I441" i="2"/>
  <c r="H441" i="2" s="1"/>
  <c r="I442" i="2"/>
  <c r="I443" i="2"/>
  <c r="H443" i="2" s="1"/>
  <c r="I444" i="2"/>
  <c r="H444" i="2" s="1"/>
  <c r="I445" i="2"/>
  <c r="I446" i="2"/>
  <c r="H446" i="2" s="1"/>
  <c r="I447" i="2"/>
  <c r="H447" i="2" s="1"/>
  <c r="I448" i="2"/>
  <c r="I449" i="2"/>
  <c r="H449" i="2" s="1"/>
  <c r="I450" i="2"/>
  <c r="H450" i="2" s="1"/>
  <c r="I451" i="2"/>
  <c r="I452" i="2"/>
  <c r="H452" i="2" s="1"/>
  <c r="I453" i="2"/>
  <c r="H453" i="2" s="1"/>
  <c r="I454" i="2"/>
  <c r="I455" i="2"/>
  <c r="H455" i="2" s="1"/>
  <c r="I456" i="2"/>
  <c r="H456" i="2" s="1"/>
  <c r="I457" i="2"/>
  <c r="I458" i="2"/>
  <c r="H458" i="2" s="1"/>
  <c r="I459" i="2"/>
  <c r="H459" i="2" s="1"/>
  <c r="I460" i="2"/>
  <c r="I461" i="2"/>
  <c r="H461" i="2" s="1"/>
  <c r="I462" i="2"/>
  <c r="H462" i="2" s="1"/>
  <c r="I463" i="2"/>
  <c r="I464" i="2"/>
  <c r="H464" i="2" s="1"/>
  <c r="I465" i="2"/>
  <c r="H465" i="2" s="1"/>
  <c r="I466" i="2"/>
  <c r="I467" i="2"/>
  <c r="H467" i="2" s="1"/>
  <c r="I468" i="2"/>
  <c r="H468" i="2" s="1"/>
  <c r="I469" i="2"/>
  <c r="I470" i="2"/>
  <c r="H470" i="2" s="1"/>
  <c r="I471" i="2"/>
  <c r="H471" i="2" s="1"/>
  <c r="I472" i="2"/>
  <c r="I473" i="2"/>
  <c r="H473" i="2" s="1"/>
  <c r="I474" i="2"/>
  <c r="H474" i="2" s="1"/>
  <c r="I475" i="2"/>
  <c r="I476" i="2"/>
  <c r="H476" i="2" s="1"/>
  <c r="I477" i="2"/>
  <c r="H477" i="2" s="1"/>
  <c r="I478" i="2"/>
  <c r="I479" i="2"/>
  <c r="H479" i="2" s="1"/>
  <c r="I480" i="2"/>
  <c r="H480" i="2" s="1"/>
  <c r="I481" i="2"/>
  <c r="I482" i="2"/>
  <c r="H482" i="2" s="1"/>
  <c r="I483" i="2"/>
  <c r="H483" i="2" s="1"/>
  <c r="I484" i="2"/>
  <c r="I485" i="2"/>
  <c r="H485" i="2" s="1"/>
  <c r="I486" i="2"/>
  <c r="H486" i="2" s="1"/>
  <c r="H117" i="2"/>
  <c r="R457" i="2"/>
  <c r="L457" i="2"/>
  <c r="R456" i="2"/>
  <c r="N456" i="2"/>
  <c r="L456" i="2"/>
  <c r="R455" i="2"/>
  <c r="N455" i="2"/>
  <c r="L455" i="2"/>
  <c r="R454" i="2"/>
  <c r="L454" i="2"/>
  <c r="R453" i="2"/>
  <c r="N453" i="2"/>
  <c r="L453" i="2"/>
  <c r="R452" i="2"/>
  <c r="N452" i="2"/>
  <c r="L452" i="2"/>
  <c r="R451" i="2"/>
  <c r="R450" i="2"/>
  <c r="R449" i="2"/>
  <c r="N449" i="2"/>
  <c r="L449" i="2"/>
  <c r="R448" i="2"/>
  <c r="L448" i="2"/>
  <c r="R447" i="2"/>
  <c r="N447" i="2"/>
  <c r="L447" i="2"/>
  <c r="R446" i="2"/>
  <c r="N446" i="2"/>
  <c r="L446" i="2"/>
  <c r="R445" i="2"/>
  <c r="L445" i="2"/>
  <c r="R444" i="2"/>
  <c r="N444" i="2"/>
  <c r="L444" i="2"/>
  <c r="R443" i="2"/>
  <c r="N443" i="2"/>
  <c r="L443" i="2"/>
  <c r="R442" i="2"/>
  <c r="L442" i="2"/>
  <c r="R441" i="2"/>
  <c r="N441" i="2"/>
  <c r="L441" i="2"/>
  <c r="R440" i="2"/>
  <c r="N440" i="2"/>
  <c r="L440" i="2"/>
  <c r="R439" i="2"/>
  <c r="R438" i="2"/>
  <c r="L439" i="2"/>
  <c r="R437" i="2"/>
  <c r="N437" i="2"/>
  <c r="L437" i="2"/>
  <c r="R436" i="2"/>
  <c r="R435" i="2"/>
  <c r="N435" i="2"/>
  <c r="L435" i="2"/>
  <c r="R434" i="2"/>
  <c r="N434" i="2"/>
  <c r="L434" i="2"/>
  <c r="L397" i="2"/>
  <c r="N391" i="2"/>
  <c r="R385" i="2"/>
  <c r="L385" i="2"/>
  <c r="R384" i="2"/>
  <c r="L384" i="2"/>
  <c r="R383" i="2"/>
  <c r="N383" i="2"/>
  <c r="N385" i="2" s="1"/>
  <c r="M385" i="2" s="1"/>
  <c r="L383" i="2"/>
  <c r="R382" i="2"/>
  <c r="L382" i="2"/>
  <c r="R381" i="2"/>
  <c r="N381" i="2"/>
  <c r="L381" i="2"/>
  <c r="R380" i="2"/>
  <c r="N380" i="2"/>
  <c r="L380" i="2"/>
  <c r="L390" i="2"/>
  <c r="N379" i="2"/>
  <c r="N378" i="2"/>
  <c r="N367" i="2"/>
  <c r="R409" i="2"/>
  <c r="L409" i="2"/>
  <c r="R408" i="2"/>
  <c r="N408" i="2"/>
  <c r="L408" i="2"/>
  <c r="R407" i="2"/>
  <c r="N407" i="2"/>
  <c r="L407" i="2"/>
  <c r="R406" i="2"/>
  <c r="L406" i="2"/>
  <c r="R405" i="2"/>
  <c r="L405" i="2"/>
  <c r="R404" i="2"/>
  <c r="N404" i="2"/>
  <c r="N406" i="2" s="1"/>
  <c r="L404" i="2"/>
  <c r="R403" i="2"/>
  <c r="L403" i="2"/>
  <c r="R402" i="2"/>
  <c r="R401" i="2"/>
  <c r="N401" i="2"/>
  <c r="L401" i="2"/>
  <c r="R400" i="2"/>
  <c r="L400" i="2"/>
  <c r="R399" i="2"/>
  <c r="N399" i="2"/>
  <c r="L399" i="2"/>
  <c r="R398" i="2"/>
  <c r="N398" i="2"/>
  <c r="L398" i="2"/>
  <c r="R397" i="2"/>
  <c r="R396" i="2"/>
  <c r="R395" i="2"/>
  <c r="N395" i="2"/>
  <c r="N397" i="2" s="1"/>
  <c r="L395" i="2"/>
  <c r="R394" i="2"/>
  <c r="L394" i="2"/>
  <c r="R393" i="2"/>
  <c r="N393" i="2"/>
  <c r="L393" i="2"/>
  <c r="R392" i="2"/>
  <c r="N392" i="2"/>
  <c r="L392" i="2"/>
  <c r="R391" i="2"/>
  <c r="L391" i="2"/>
  <c r="R390" i="2"/>
  <c r="R389" i="2"/>
  <c r="N389" i="2"/>
  <c r="L389" i="2"/>
  <c r="R388" i="2"/>
  <c r="L388" i="2"/>
  <c r="R387" i="2"/>
  <c r="N387" i="2"/>
  <c r="L387" i="2"/>
  <c r="R386" i="2"/>
  <c r="N386" i="2"/>
  <c r="L386" i="2"/>
  <c r="R379" i="2"/>
  <c r="L379" i="2"/>
  <c r="R378" i="2"/>
  <c r="L378" i="2"/>
  <c r="R377" i="2"/>
  <c r="N377" i="2"/>
  <c r="L377" i="2"/>
  <c r="R376" i="2"/>
  <c r="L376" i="2"/>
  <c r="R375" i="2"/>
  <c r="N375" i="2"/>
  <c r="L375" i="2"/>
  <c r="R374" i="2"/>
  <c r="N374" i="2"/>
  <c r="L374" i="2"/>
  <c r="R373" i="2"/>
  <c r="L373" i="2"/>
  <c r="R372" i="2"/>
  <c r="L372" i="2"/>
  <c r="O372" i="2" s="1"/>
  <c r="R371" i="2"/>
  <c r="N371" i="2"/>
  <c r="N373" i="2" s="1"/>
  <c r="M373" i="2" s="1"/>
  <c r="L371" i="2"/>
  <c r="R370" i="2"/>
  <c r="L370" i="2"/>
  <c r="R369" i="2"/>
  <c r="N369" i="2"/>
  <c r="L369" i="2"/>
  <c r="R368" i="2"/>
  <c r="N368" i="2"/>
  <c r="L368" i="2"/>
  <c r="R367" i="2"/>
  <c r="L367" i="2"/>
  <c r="R366" i="2"/>
  <c r="N366" i="2"/>
  <c r="O366" i="2" s="1"/>
  <c r="R365" i="2"/>
  <c r="N365" i="2"/>
  <c r="L365" i="2"/>
  <c r="R364" i="2"/>
  <c r="L364" i="2"/>
  <c r="R363" i="2"/>
  <c r="N363" i="2"/>
  <c r="L363" i="2"/>
  <c r="R362" i="2"/>
  <c r="L362" i="2"/>
  <c r="L334" i="2"/>
  <c r="L323" i="2"/>
  <c r="N428" i="2"/>
  <c r="R433" i="2"/>
  <c r="L433" i="2"/>
  <c r="R432" i="2"/>
  <c r="N432" i="2"/>
  <c r="L432" i="2"/>
  <c r="R431" i="2"/>
  <c r="N431" i="2"/>
  <c r="L431" i="2"/>
  <c r="R430" i="2"/>
  <c r="L430" i="2"/>
  <c r="R429" i="2"/>
  <c r="N429" i="2"/>
  <c r="L429" i="2"/>
  <c r="R428" i="2"/>
  <c r="L428" i="2"/>
  <c r="N412" i="2"/>
  <c r="N418" i="2"/>
  <c r="N415" i="2"/>
  <c r="N414" i="2"/>
  <c r="O414" i="2" s="1"/>
  <c r="R427" i="2"/>
  <c r="L427" i="2"/>
  <c r="R426" i="2"/>
  <c r="R425" i="2"/>
  <c r="N425" i="2"/>
  <c r="L425" i="2"/>
  <c r="R424" i="2"/>
  <c r="L424" i="2"/>
  <c r="R423" i="2"/>
  <c r="N423" i="2"/>
  <c r="L423" i="2"/>
  <c r="R422" i="2"/>
  <c r="N422" i="2"/>
  <c r="L422" i="2"/>
  <c r="R421" i="2"/>
  <c r="L421" i="2"/>
  <c r="R420" i="2"/>
  <c r="L420" i="2"/>
  <c r="O420" i="2" s="1"/>
  <c r="R419" i="2"/>
  <c r="N419" i="2"/>
  <c r="L419" i="2"/>
  <c r="R418" i="2"/>
  <c r="L418" i="2"/>
  <c r="R417" i="2"/>
  <c r="N417" i="2"/>
  <c r="L417" i="2"/>
  <c r="R416" i="2"/>
  <c r="N416" i="2"/>
  <c r="L416" i="2"/>
  <c r="R415" i="2"/>
  <c r="L415" i="2"/>
  <c r="R414" i="2"/>
  <c r="R413" i="2"/>
  <c r="N413" i="2"/>
  <c r="L413" i="2"/>
  <c r="R412" i="2"/>
  <c r="L412" i="2"/>
  <c r="R411" i="2"/>
  <c r="N411" i="2"/>
  <c r="L411" i="2"/>
  <c r="R410" i="2"/>
  <c r="N410" i="2"/>
  <c r="L41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2" i="2"/>
  <c r="L356" i="2"/>
  <c r="N356" i="2"/>
  <c r="L357" i="2"/>
  <c r="N357" i="2"/>
  <c r="L358" i="2"/>
  <c r="L359" i="2"/>
  <c r="N359" i="2"/>
  <c r="L360" i="2"/>
  <c r="N360" i="2"/>
  <c r="L361" i="2"/>
  <c r="L350" i="2"/>
  <c r="N350" i="2"/>
  <c r="N352" i="2" s="1"/>
  <c r="L351" i="2"/>
  <c r="L352" i="2"/>
  <c r="L353" i="2"/>
  <c r="N353" i="2"/>
  <c r="N355" i="2" s="1"/>
  <c r="L354" i="2"/>
  <c r="L355" i="2"/>
  <c r="L344" i="2"/>
  <c r="N344" i="2"/>
  <c r="L345" i="2"/>
  <c r="L346" i="2"/>
  <c r="L347" i="2"/>
  <c r="N347" i="2"/>
  <c r="L348" i="2"/>
  <c r="N348" i="2"/>
  <c r="L349" i="2"/>
  <c r="L338" i="2"/>
  <c r="N338" i="2"/>
  <c r="L339" i="2"/>
  <c r="N339" i="2"/>
  <c r="L340" i="2"/>
  <c r="L341" i="2"/>
  <c r="N341" i="2"/>
  <c r="N343" i="2" s="1"/>
  <c r="L342" i="2"/>
  <c r="L343" i="2"/>
  <c r="L332" i="2"/>
  <c r="N332" i="2"/>
  <c r="L333" i="2"/>
  <c r="N333" i="2"/>
  <c r="L335" i="2"/>
  <c r="N335" i="2"/>
  <c r="N337" i="2" s="1"/>
  <c r="L336" i="2"/>
  <c r="L337" i="2"/>
  <c r="L326" i="2"/>
  <c r="N326" i="2"/>
  <c r="L327" i="2"/>
  <c r="N327" i="2"/>
  <c r="L328" i="2"/>
  <c r="L329" i="2"/>
  <c r="N329" i="2"/>
  <c r="L330" i="2"/>
  <c r="N330" i="2"/>
  <c r="L331" i="2"/>
  <c r="L320" i="2"/>
  <c r="N320" i="2"/>
  <c r="N322" i="2" s="1"/>
  <c r="L321" i="2"/>
  <c r="L322" i="2"/>
  <c r="N323" i="2"/>
  <c r="L324" i="2"/>
  <c r="N324" i="2"/>
  <c r="L325" i="2"/>
  <c r="L314" i="2"/>
  <c r="N314" i="2"/>
  <c r="L315" i="2"/>
  <c r="N315" i="2"/>
  <c r="L317" i="2"/>
  <c r="N317" i="2"/>
  <c r="L318" i="2"/>
  <c r="L319" i="2"/>
  <c r="L308" i="2"/>
  <c r="N308" i="2"/>
  <c r="L309" i="2"/>
  <c r="N309" i="2"/>
  <c r="L310" i="2"/>
  <c r="L311" i="2"/>
  <c r="N311" i="2"/>
  <c r="L312" i="2"/>
  <c r="N312" i="2"/>
  <c r="L313" i="2"/>
  <c r="L302" i="2"/>
  <c r="N302" i="2"/>
  <c r="L303" i="2"/>
  <c r="N303" i="2"/>
  <c r="L304" i="2"/>
  <c r="L305" i="2"/>
  <c r="N305" i="2"/>
  <c r="L306" i="2"/>
  <c r="N306" i="2"/>
  <c r="L307" i="2"/>
  <c r="L296" i="2"/>
  <c r="N296" i="2"/>
  <c r="L297" i="2"/>
  <c r="N297" i="2"/>
  <c r="L298" i="2"/>
  <c r="L299" i="2"/>
  <c r="N299" i="2"/>
  <c r="L300" i="2"/>
  <c r="N300" i="2"/>
  <c r="L301" i="2"/>
  <c r="L290" i="2"/>
  <c r="N290" i="2"/>
  <c r="L291" i="2"/>
  <c r="N291" i="2"/>
  <c r="L292" i="2"/>
  <c r="L293" i="2"/>
  <c r="N293" i="2"/>
  <c r="L294" i="2"/>
  <c r="N294" i="2"/>
  <c r="L295" i="2"/>
  <c r="L284" i="2"/>
  <c r="N284" i="2"/>
  <c r="L285" i="2"/>
  <c r="N285" i="2"/>
  <c r="L286" i="2"/>
  <c r="L287" i="2"/>
  <c r="N287" i="2"/>
  <c r="L288" i="2"/>
  <c r="N288" i="2"/>
  <c r="L289" i="2"/>
  <c r="L278" i="2"/>
  <c r="N278" i="2"/>
  <c r="L279" i="2"/>
  <c r="N279" i="2"/>
  <c r="L280" i="2"/>
  <c r="L281" i="2"/>
  <c r="N281" i="2"/>
  <c r="L283" i="2"/>
  <c r="L272" i="2"/>
  <c r="N272" i="2"/>
  <c r="L273" i="2"/>
  <c r="N273" i="2"/>
  <c r="L274" i="2"/>
  <c r="L275" i="2"/>
  <c r="N275" i="2"/>
  <c r="L276" i="2"/>
  <c r="N276" i="2"/>
  <c r="L277" i="2"/>
  <c r="L266" i="2"/>
  <c r="N266" i="2"/>
  <c r="L267" i="2"/>
  <c r="N267" i="2"/>
  <c r="L268" i="2"/>
  <c r="L269" i="2"/>
  <c r="N269" i="2"/>
  <c r="L270" i="2"/>
  <c r="N270" i="2"/>
  <c r="L271" i="2"/>
  <c r="L260" i="2"/>
  <c r="N260" i="2"/>
  <c r="L261" i="2"/>
  <c r="N261" i="2"/>
  <c r="L262" i="2"/>
  <c r="L263" i="2"/>
  <c r="N263" i="2"/>
  <c r="L264" i="2"/>
  <c r="N264" i="2"/>
  <c r="L265" i="2"/>
  <c r="L254" i="2"/>
  <c r="N254" i="2"/>
  <c r="L255" i="2"/>
  <c r="N255" i="2"/>
  <c r="L256" i="2"/>
  <c r="L257" i="2"/>
  <c r="N257" i="2"/>
  <c r="L258" i="2"/>
  <c r="N258" i="2"/>
  <c r="L259" i="2"/>
  <c r="L248" i="2"/>
  <c r="N248" i="2"/>
  <c r="L249" i="2"/>
  <c r="N249" i="2"/>
  <c r="L250" i="2"/>
  <c r="L251" i="2"/>
  <c r="N251" i="2"/>
  <c r="L252" i="2"/>
  <c r="N252" i="2"/>
  <c r="L253" i="2"/>
  <c r="L201" i="2"/>
  <c r="L247" i="2"/>
  <c r="N246" i="2"/>
  <c r="L246" i="2"/>
  <c r="N245" i="2"/>
  <c r="L245" i="2"/>
  <c r="L244" i="2"/>
  <c r="N243" i="2"/>
  <c r="L243" i="2"/>
  <c r="N242" i="2"/>
  <c r="L242" i="2"/>
  <c r="L241" i="2"/>
  <c r="N239" i="2"/>
  <c r="L239" i="2"/>
  <c r="L238" i="2"/>
  <c r="N237" i="2"/>
  <c r="L237" i="2"/>
  <c r="N236" i="2"/>
  <c r="L236" i="2"/>
  <c r="L235" i="2"/>
  <c r="N234" i="2"/>
  <c r="L234" i="2"/>
  <c r="N233" i="2"/>
  <c r="L233" i="2"/>
  <c r="L232" i="2"/>
  <c r="N231" i="2"/>
  <c r="L231" i="2"/>
  <c r="N230" i="2"/>
  <c r="L230" i="2"/>
  <c r="L229" i="2"/>
  <c r="N227" i="2"/>
  <c r="L227" i="2"/>
  <c r="L226" i="2"/>
  <c r="N225" i="2"/>
  <c r="L225" i="2"/>
  <c r="N224" i="2"/>
  <c r="L224" i="2"/>
  <c r="L223" i="2"/>
  <c r="N222" i="2"/>
  <c r="L222" i="2"/>
  <c r="N221" i="2"/>
  <c r="L221" i="2"/>
  <c r="L220" i="2"/>
  <c r="N219" i="2"/>
  <c r="L219" i="2"/>
  <c r="N218" i="2"/>
  <c r="L218" i="2"/>
  <c r="L217" i="2"/>
  <c r="N216" i="2"/>
  <c r="L216" i="2"/>
  <c r="N215" i="2"/>
  <c r="L215" i="2"/>
  <c r="L214" i="2"/>
  <c r="N213" i="2"/>
  <c r="L213" i="2"/>
  <c r="N212" i="2"/>
  <c r="L212" i="2"/>
  <c r="L211" i="2"/>
  <c r="N210" i="2"/>
  <c r="L210" i="2"/>
  <c r="N209" i="2"/>
  <c r="L209" i="2"/>
  <c r="L208" i="2"/>
  <c r="N207" i="2"/>
  <c r="L207" i="2"/>
  <c r="N206" i="2"/>
  <c r="L206" i="2"/>
  <c r="L205" i="2"/>
  <c r="N204" i="2"/>
  <c r="L204" i="2"/>
  <c r="N203" i="2"/>
  <c r="L203" i="2"/>
  <c r="L202" i="2"/>
  <c r="N201" i="2"/>
  <c r="N200" i="2"/>
  <c r="L200" i="2"/>
  <c r="L199" i="2"/>
  <c r="N198" i="2"/>
  <c r="L198" i="2"/>
  <c r="N197" i="2"/>
  <c r="L197" i="2"/>
  <c r="L196" i="2"/>
  <c r="N195" i="2"/>
  <c r="L195" i="2"/>
  <c r="N194" i="2"/>
  <c r="L194" i="2"/>
  <c r="L193" i="2"/>
  <c r="N192" i="2"/>
  <c r="L192" i="2"/>
  <c r="N191" i="2"/>
  <c r="L191" i="2"/>
  <c r="L190" i="2"/>
  <c r="N189" i="2"/>
  <c r="L189" i="2"/>
  <c r="N188" i="2"/>
  <c r="L188" i="2"/>
  <c r="L187" i="2"/>
  <c r="N186" i="2"/>
  <c r="L186" i="2"/>
  <c r="N185" i="2"/>
  <c r="L185" i="2"/>
  <c r="L184" i="2"/>
  <c r="N183" i="2"/>
  <c r="L183" i="2"/>
  <c r="N182" i="2"/>
  <c r="L182" i="2"/>
  <c r="N180" i="2"/>
  <c r="L180" i="2"/>
  <c r="N179" i="2"/>
  <c r="L179" i="2"/>
  <c r="L178" i="2"/>
  <c r="N177" i="2"/>
  <c r="L177" i="2"/>
  <c r="N176" i="2"/>
  <c r="L176" i="2"/>
  <c r="N174" i="2"/>
  <c r="L174" i="2"/>
  <c r="N173" i="2"/>
  <c r="L173" i="2"/>
  <c r="L172" i="2"/>
  <c r="N171" i="2"/>
  <c r="L171" i="2"/>
  <c r="N170" i="2"/>
  <c r="L170" i="2"/>
  <c r="L169" i="2"/>
  <c r="N168" i="2"/>
  <c r="L168" i="2"/>
  <c r="N167" i="2"/>
  <c r="L167" i="2"/>
  <c r="L166" i="2"/>
  <c r="N165" i="2"/>
  <c r="L165" i="2"/>
  <c r="N164" i="2"/>
  <c r="L164" i="2"/>
  <c r="L163" i="2"/>
  <c r="N162" i="2"/>
  <c r="L162" i="2"/>
  <c r="N161" i="2"/>
  <c r="L161" i="2"/>
  <c r="L160" i="2"/>
  <c r="N159" i="2"/>
  <c r="L159" i="2"/>
  <c r="N158" i="2"/>
  <c r="L158" i="2"/>
  <c r="L157" i="2"/>
  <c r="N156" i="2"/>
  <c r="L156" i="2"/>
  <c r="N155" i="2"/>
  <c r="L155" i="2"/>
  <c r="L154" i="2"/>
  <c r="N153" i="2"/>
  <c r="L153" i="2"/>
  <c r="N152" i="2"/>
  <c r="L152" i="2"/>
  <c r="L151" i="2"/>
  <c r="N150" i="2"/>
  <c r="L150" i="2"/>
  <c r="N149" i="2"/>
  <c r="L149" i="2"/>
  <c r="L148" i="2"/>
  <c r="N147" i="2"/>
  <c r="L147" i="2"/>
  <c r="N146" i="2"/>
  <c r="L146" i="2"/>
  <c r="L145" i="2"/>
  <c r="N144" i="2"/>
  <c r="L144" i="2"/>
  <c r="N143" i="2"/>
  <c r="L143" i="2"/>
  <c r="L142" i="2"/>
  <c r="N141" i="2"/>
  <c r="L141" i="2"/>
  <c r="N140" i="2"/>
  <c r="L140" i="2"/>
  <c r="L139" i="2"/>
  <c r="N138" i="2"/>
  <c r="L138" i="2"/>
  <c r="N137" i="2"/>
  <c r="L137" i="2"/>
  <c r="L136" i="2"/>
  <c r="N135" i="2"/>
  <c r="L135" i="2"/>
  <c r="N134" i="2"/>
  <c r="L134" i="2"/>
  <c r="L133" i="2"/>
  <c r="N131" i="2"/>
  <c r="L131" i="2"/>
  <c r="L130" i="2"/>
  <c r="N129" i="2"/>
  <c r="L129" i="2"/>
  <c r="N128" i="2"/>
  <c r="L128" i="2"/>
  <c r="L127" i="2"/>
  <c r="N126" i="2"/>
  <c r="L126" i="2"/>
  <c r="N125" i="2"/>
  <c r="L125" i="2"/>
  <c r="L124" i="2"/>
  <c r="N123" i="2"/>
  <c r="L123" i="2"/>
  <c r="N122" i="2"/>
  <c r="L122" i="2"/>
  <c r="L121" i="2"/>
  <c r="N119" i="2"/>
  <c r="L119" i="2"/>
  <c r="L118" i="2"/>
  <c r="N117" i="2"/>
  <c r="L117" i="2"/>
  <c r="N116" i="2"/>
  <c r="L116" i="2"/>
  <c r="L115" i="2"/>
  <c r="N114" i="2"/>
  <c r="L114" i="2"/>
  <c r="N113" i="2"/>
  <c r="L113" i="2"/>
  <c r="L112" i="2"/>
  <c r="N111" i="2"/>
  <c r="L111" i="2"/>
  <c r="N110" i="2"/>
  <c r="L110" i="2"/>
  <c r="L109" i="2"/>
  <c r="N108" i="2"/>
  <c r="L108" i="2"/>
  <c r="N107" i="2"/>
  <c r="L107" i="2"/>
  <c r="L106" i="2"/>
  <c r="N105" i="2"/>
  <c r="L105" i="2"/>
  <c r="N104" i="2"/>
  <c r="L104" i="2"/>
  <c r="L103" i="2"/>
  <c r="N102" i="2"/>
  <c r="L102" i="2"/>
  <c r="N101" i="2"/>
  <c r="L101" i="2"/>
  <c r="L100" i="2"/>
  <c r="N99" i="2"/>
  <c r="L99" i="2"/>
  <c r="N98" i="2"/>
  <c r="L98" i="2"/>
  <c r="N96" i="2"/>
  <c r="L96" i="2"/>
  <c r="N95" i="2"/>
  <c r="L95" i="2"/>
  <c r="L94" i="2"/>
  <c r="N93" i="2"/>
  <c r="L93" i="2"/>
  <c r="N92" i="2"/>
  <c r="L92" i="2"/>
  <c r="N90" i="2"/>
  <c r="L90" i="2"/>
  <c r="N89" i="2"/>
  <c r="L89" i="2"/>
  <c r="L88" i="2"/>
  <c r="N87" i="2"/>
  <c r="L87" i="2"/>
  <c r="N86" i="2"/>
  <c r="L86" i="2"/>
  <c r="L85" i="2"/>
  <c r="N84" i="2"/>
  <c r="L84" i="2"/>
  <c r="N83" i="2"/>
  <c r="L83" i="2"/>
  <c r="L82" i="2"/>
  <c r="N81" i="2"/>
  <c r="L81" i="2"/>
  <c r="N80" i="2"/>
  <c r="L80" i="2"/>
  <c r="L79" i="2"/>
  <c r="N78" i="2"/>
  <c r="L78" i="2"/>
  <c r="N77" i="2"/>
  <c r="L77" i="2"/>
  <c r="L76" i="2"/>
  <c r="N75" i="2"/>
  <c r="L75" i="2"/>
  <c r="N74" i="2"/>
  <c r="L74" i="2"/>
  <c r="L73" i="2"/>
  <c r="N72" i="2"/>
  <c r="L72" i="2"/>
  <c r="N71" i="2"/>
  <c r="L71" i="2"/>
  <c r="L70" i="2"/>
  <c r="N69" i="2"/>
  <c r="L69" i="2"/>
  <c r="N68" i="2"/>
  <c r="L68" i="2"/>
  <c r="N63" i="2"/>
  <c r="N62" i="2"/>
  <c r="L67" i="2"/>
  <c r="N65" i="2"/>
  <c r="L65" i="2"/>
  <c r="L64" i="2"/>
  <c r="L63" i="2"/>
  <c r="L62" i="2"/>
  <c r="L61" i="2"/>
  <c r="N59" i="2"/>
  <c r="L59" i="2"/>
  <c r="L58" i="2"/>
  <c r="N57" i="2"/>
  <c r="L57" i="2"/>
  <c r="N56" i="2"/>
  <c r="L56" i="2"/>
  <c r="L55" i="2"/>
  <c r="N54" i="2"/>
  <c r="L54" i="2"/>
  <c r="N53" i="2"/>
  <c r="L53" i="2"/>
  <c r="L52" i="2"/>
  <c r="N51" i="2"/>
  <c r="L51" i="2"/>
  <c r="N50" i="2"/>
  <c r="L50" i="2"/>
  <c r="N48" i="2"/>
  <c r="N47" i="2"/>
  <c r="N45" i="2"/>
  <c r="N44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N42" i="2"/>
  <c r="N41" i="2"/>
  <c r="N39" i="2"/>
  <c r="N38" i="2"/>
  <c r="N36" i="2"/>
  <c r="N35" i="2"/>
  <c r="N33" i="2"/>
  <c r="N32" i="2"/>
  <c r="N30" i="2"/>
  <c r="N29" i="2"/>
  <c r="N27" i="2"/>
  <c r="N26" i="2"/>
  <c r="N24" i="2"/>
  <c r="N23" i="2"/>
  <c r="N21" i="2"/>
  <c r="N20" i="2"/>
  <c r="N18" i="2"/>
  <c r="N17" i="2"/>
  <c r="N15" i="2"/>
  <c r="N14" i="2"/>
  <c r="N12" i="2"/>
  <c r="N11" i="2"/>
  <c r="N9" i="2"/>
  <c r="N8" i="2"/>
  <c r="N6" i="2"/>
  <c r="N5" i="2"/>
  <c r="N3" i="2"/>
  <c r="N2" i="2"/>
  <c r="L3" i="2"/>
  <c r="L4" i="2"/>
  <c r="L5" i="2"/>
  <c r="L6" i="2"/>
  <c r="L7" i="2"/>
  <c r="L2" i="2"/>
  <c r="I2" i="2"/>
  <c r="H2" i="2" s="1"/>
  <c r="H21" i="1"/>
  <c r="I20" i="1"/>
  <c r="H20" i="1" s="1"/>
  <c r="I19" i="1"/>
  <c r="H19" i="1"/>
  <c r="I18" i="1"/>
  <c r="H18" i="1"/>
  <c r="I17" i="1"/>
  <c r="H17" i="1"/>
  <c r="I16" i="1"/>
  <c r="H16" i="1" s="1"/>
  <c r="H10" i="1"/>
  <c r="I9" i="1"/>
  <c r="H9" i="1"/>
  <c r="I8" i="1"/>
  <c r="H8" i="1"/>
  <c r="I7" i="1"/>
  <c r="H7" i="1"/>
  <c r="I6" i="1"/>
  <c r="H6" i="1"/>
  <c r="I5" i="1"/>
  <c r="H5" i="1"/>
  <c r="O240" i="2" l="1"/>
  <c r="O402" i="2"/>
  <c r="O450" i="2"/>
  <c r="O426" i="2"/>
  <c r="O181" i="2"/>
  <c r="O66" i="2"/>
  <c r="O132" i="2"/>
  <c r="O97" i="2"/>
  <c r="O282" i="2"/>
  <c r="O60" i="2"/>
  <c r="O120" i="2"/>
  <c r="O228" i="2"/>
  <c r="O91" i="2"/>
  <c r="O63" i="2"/>
  <c r="H487" i="2"/>
  <c r="I487" i="2" s="1"/>
  <c r="N295" i="2"/>
  <c r="M295" i="2" s="1"/>
  <c r="N304" i="2"/>
  <c r="M304" i="2" s="1"/>
  <c r="O391" i="2"/>
  <c r="O84" i="2"/>
  <c r="O416" i="2"/>
  <c r="O243" i="2"/>
  <c r="O246" i="2"/>
  <c r="O398" i="2"/>
  <c r="O62" i="2"/>
  <c r="N430" i="2"/>
  <c r="O430" i="2" s="1"/>
  <c r="O386" i="2"/>
  <c r="N433" i="2"/>
  <c r="O433" i="2" s="1"/>
  <c r="N265" i="2"/>
  <c r="M265" i="2" s="1"/>
  <c r="N271" i="2"/>
  <c r="M271" i="2" s="1"/>
  <c r="O371" i="2"/>
  <c r="O51" i="2"/>
  <c r="O54" i="2"/>
  <c r="O56" i="2"/>
  <c r="O83" i="2"/>
  <c r="N268" i="2"/>
  <c r="M268" i="2" s="1"/>
  <c r="N289" i="2"/>
  <c r="M289" i="2" s="1"/>
  <c r="O412" i="2"/>
  <c r="O365" i="2"/>
  <c r="O377" i="2"/>
  <c r="N439" i="2"/>
  <c r="O439" i="2" s="1"/>
  <c r="N442" i="2"/>
  <c r="O442" i="2" s="1"/>
  <c r="N445" i="2"/>
  <c r="O445" i="2" s="1"/>
  <c r="N448" i="2"/>
  <c r="O448" i="2" s="1"/>
  <c r="N451" i="2"/>
  <c r="O451" i="2" s="1"/>
  <c r="N454" i="2"/>
  <c r="O454" i="2" s="1"/>
  <c r="N457" i="2"/>
  <c r="O457" i="2" s="1"/>
  <c r="O77" i="2"/>
  <c r="O171" i="2"/>
  <c r="O174" i="2"/>
  <c r="O200" i="2"/>
  <c r="O219" i="2"/>
  <c r="O222" i="2"/>
  <c r="O368" i="2"/>
  <c r="O428" i="2"/>
  <c r="N409" i="2"/>
  <c r="O409" i="2" s="1"/>
  <c r="N361" i="2"/>
  <c r="M361" i="2" s="1"/>
  <c r="N358" i="2"/>
  <c r="O358" i="2" s="1"/>
  <c r="O374" i="2"/>
  <c r="O378" i="2"/>
  <c r="O381" i="2"/>
  <c r="O383" i="2"/>
  <c r="O45" i="2"/>
  <c r="O47" i="2"/>
  <c r="O6" i="2"/>
  <c r="O48" i="2"/>
  <c r="N100" i="2"/>
  <c r="M100" i="2" s="1"/>
  <c r="O170" i="2"/>
  <c r="O173" i="2"/>
  <c r="O189" i="2"/>
  <c r="O192" i="2"/>
  <c r="O218" i="2"/>
  <c r="O221" i="2"/>
  <c r="N313" i="2"/>
  <c r="O313" i="2" s="1"/>
  <c r="N310" i="2"/>
  <c r="M310" i="2" s="1"/>
  <c r="O86" i="2"/>
  <c r="O89" i="2"/>
  <c r="O105" i="2"/>
  <c r="O108" i="2"/>
  <c r="N274" i="2"/>
  <c r="M274" i="2" s="1"/>
  <c r="N331" i="2"/>
  <c r="M331" i="2" s="1"/>
  <c r="N328" i="2"/>
  <c r="M328" i="2" s="1"/>
  <c r="O375" i="2"/>
  <c r="N403" i="2"/>
  <c r="O403" i="2" s="1"/>
  <c r="O435" i="2"/>
  <c r="O441" i="2"/>
  <c r="O444" i="2"/>
  <c r="O447" i="2"/>
  <c r="O453" i="2"/>
  <c r="O456" i="2"/>
  <c r="N307" i="2"/>
  <c r="O307" i="2" s="1"/>
  <c r="N349" i="2"/>
  <c r="O349" i="2" s="1"/>
  <c r="O44" i="2"/>
  <c r="O68" i="2"/>
  <c r="O71" i="2"/>
  <c r="O87" i="2"/>
  <c r="O90" i="2"/>
  <c r="O116" i="2"/>
  <c r="O119" i="2"/>
  <c r="O194" i="2"/>
  <c r="O197" i="2"/>
  <c r="O213" i="2"/>
  <c r="O216" i="2"/>
  <c r="N286" i="2"/>
  <c r="M286" i="2" s="1"/>
  <c r="N292" i="2"/>
  <c r="M292" i="2" s="1"/>
  <c r="N325" i="2"/>
  <c r="M325" i="2" s="1"/>
  <c r="N340" i="2"/>
  <c r="M340" i="2" s="1"/>
  <c r="O369" i="2"/>
  <c r="O408" i="2"/>
  <c r="N424" i="2"/>
  <c r="M424" i="2" s="1"/>
  <c r="N427" i="2"/>
  <c r="M427" i="2" s="1"/>
  <c r="N277" i="2"/>
  <c r="M277" i="2" s="1"/>
  <c r="O78" i="2"/>
  <c r="O389" i="2"/>
  <c r="O380" i="2"/>
  <c r="N262" i="2"/>
  <c r="M262" i="2" s="1"/>
  <c r="O69" i="2"/>
  <c r="O72" i="2"/>
  <c r="O423" i="2"/>
  <c r="O363" i="2"/>
  <c r="O387" i="2"/>
  <c r="O407" i="2"/>
  <c r="O65" i="2"/>
  <c r="O74" i="2"/>
  <c r="O80" i="2"/>
  <c r="O92" i="2"/>
  <c r="O95" i="2"/>
  <c r="O111" i="2"/>
  <c r="O114" i="2"/>
  <c r="O176" i="2"/>
  <c r="O179" i="2"/>
  <c r="O195" i="2"/>
  <c r="O198" i="2"/>
  <c r="O224" i="2"/>
  <c r="O227" i="2"/>
  <c r="O50" i="2"/>
  <c r="O53" i="2"/>
  <c r="O59" i="2"/>
  <c r="O99" i="2"/>
  <c r="O102" i="2"/>
  <c r="O134" i="2"/>
  <c r="O137" i="2"/>
  <c r="O140" i="2"/>
  <c r="O143" i="2"/>
  <c r="O146" i="2"/>
  <c r="O164" i="2"/>
  <c r="O167" i="2"/>
  <c r="O183" i="2"/>
  <c r="O186" i="2"/>
  <c r="O212" i="2"/>
  <c r="O215" i="2"/>
  <c r="O231" i="2"/>
  <c r="O234" i="2"/>
  <c r="O237" i="2"/>
  <c r="O410" i="2"/>
  <c r="O418" i="2"/>
  <c r="O399" i="2"/>
  <c r="O401" i="2"/>
  <c r="O75" i="2"/>
  <c r="O81" i="2"/>
  <c r="O93" i="2"/>
  <c r="O96" i="2"/>
  <c r="O122" i="2"/>
  <c r="O125" i="2"/>
  <c r="O128" i="2"/>
  <c r="O131" i="2"/>
  <c r="O149" i="2"/>
  <c r="O152" i="2"/>
  <c r="O155" i="2"/>
  <c r="O158" i="2"/>
  <c r="O161" i="2"/>
  <c r="O177" i="2"/>
  <c r="O180" i="2"/>
  <c r="O203" i="2"/>
  <c r="O206" i="2"/>
  <c r="O209" i="2"/>
  <c r="O225" i="2"/>
  <c r="O431" i="2"/>
  <c r="O393" i="2"/>
  <c r="O395" i="2"/>
  <c r="N382" i="2"/>
  <c r="M382" i="2" s="1"/>
  <c r="O5" i="2"/>
  <c r="O110" i="2"/>
  <c r="O113" i="2"/>
  <c r="O135" i="2"/>
  <c r="O141" i="2"/>
  <c r="O147" i="2"/>
  <c r="O165" i="2"/>
  <c r="O168" i="2"/>
  <c r="O415" i="2"/>
  <c r="O367" i="2"/>
  <c r="O434" i="2"/>
  <c r="O437" i="2"/>
  <c r="O440" i="2"/>
  <c r="O443" i="2"/>
  <c r="O446" i="2"/>
  <c r="O449" i="2"/>
  <c r="O452" i="2"/>
  <c r="O455" i="2"/>
  <c r="O3" i="2"/>
  <c r="O104" i="2"/>
  <c r="O107" i="2"/>
  <c r="O123" i="2"/>
  <c r="O129" i="2"/>
  <c r="O138" i="2"/>
  <c r="O144" i="2"/>
  <c r="O150" i="2"/>
  <c r="O153" i="2"/>
  <c r="O156" i="2"/>
  <c r="O159" i="2"/>
  <c r="O162" i="2"/>
  <c r="O188" i="2"/>
  <c r="O191" i="2"/>
  <c r="O204" i="2"/>
  <c r="O207" i="2"/>
  <c r="O210" i="2"/>
  <c r="O242" i="2"/>
  <c r="O245" i="2"/>
  <c r="O417" i="2"/>
  <c r="O419" i="2"/>
  <c r="O429" i="2"/>
  <c r="O432" i="2"/>
  <c r="O392" i="2"/>
  <c r="N400" i="2"/>
  <c r="O400" i="2" s="1"/>
  <c r="O404" i="2"/>
  <c r="O57" i="2"/>
  <c r="O98" i="2"/>
  <c r="O101" i="2"/>
  <c r="O117" i="2"/>
  <c r="O126" i="2"/>
  <c r="O182" i="2"/>
  <c r="O185" i="2"/>
  <c r="O230" i="2"/>
  <c r="O233" i="2"/>
  <c r="O236" i="2"/>
  <c r="O239" i="2"/>
  <c r="N250" i="2"/>
  <c r="M250" i="2" s="1"/>
  <c r="O305" i="2"/>
  <c r="O411" i="2"/>
  <c r="O413" i="2"/>
  <c r="O422" i="2"/>
  <c r="O425" i="2"/>
  <c r="O385" i="2"/>
  <c r="O373" i="2"/>
  <c r="O388" i="2"/>
  <c r="O8" i="2"/>
  <c r="O9" i="2"/>
  <c r="O11" i="2"/>
  <c r="O12" i="2"/>
  <c r="O14" i="2"/>
  <c r="O15" i="2"/>
  <c r="O17" i="2"/>
  <c r="O18" i="2"/>
  <c r="O20" i="2"/>
  <c r="O21" i="2"/>
  <c r="O23" i="2"/>
  <c r="O24" i="2"/>
  <c r="O26" i="2"/>
  <c r="O27" i="2"/>
  <c r="O29" i="2"/>
  <c r="O30" i="2"/>
  <c r="O32" i="2"/>
  <c r="O33" i="2"/>
  <c r="O35" i="2"/>
  <c r="O36" i="2"/>
  <c r="O38" i="2"/>
  <c r="O39" i="2"/>
  <c r="O41" i="2"/>
  <c r="O42" i="2"/>
  <c r="O201" i="2"/>
  <c r="O252" i="2"/>
  <c r="O251" i="2"/>
  <c r="O249" i="2"/>
  <c r="O248" i="2"/>
  <c r="O258" i="2"/>
  <c r="O257" i="2"/>
  <c r="O255" i="2"/>
  <c r="O254" i="2"/>
  <c r="O264" i="2"/>
  <c r="O263" i="2"/>
  <c r="O261" i="2"/>
  <c r="O260" i="2"/>
  <c r="O270" i="2"/>
  <c r="O269" i="2"/>
  <c r="O267" i="2"/>
  <c r="O266" i="2"/>
  <c r="O276" i="2"/>
  <c r="O275" i="2"/>
  <c r="O273" i="2"/>
  <c r="O272" i="2"/>
  <c r="O281" i="2"/>
  <c r="O279" i="2"/>
  <c r="O278" i="2"/>
  <c r="O288" i="2"/>
  <c r="O287" i="2"/>
  <c r="O285" i="2"/>
  <c r="O284" i="2"/>
  <c r="O294" i="2"/>
  <c r="O293" i="2"/>
  <c r="O291" i="2"/>
  <c r="O290" i="2"/>
  <c r="O300" i="2"/>
  <c r="O299" i="2"/>
  <c r="O297" i="2"/>
  <c r="O296" i="2"/>
  <c r="O303" i="2"/>
  <c r="O302" i="2"/>
  <c r="O406" i="2"/>
  <c r="O394" i="2"/>
  <c r="O397" i="2"/>
  <c r="O379" i="2"/>
  <c r="O360" i="2"/>
  <c r="O359" i="2"/>
  <c r="O357" i="2"/>
  <c r="O356" i="2"/>
  <c r="M355" i="2"/>
  <c r="O355" i="2"/>
  <c r="O353" i="2"/>
  <c r="M352" i="2"/>
  <c r="O352" i="2"/>
  <c r="O350" i="2"/>
  <c r="O348" i="2"/>
  <c r="O347" i="2"/>
  <c r="O344" i="2"/>
  <c r="M343" i="2"/>
  <c r="O343" i="2"/>
  <c r="O341" i="2"/>
  <c r="O339" i="2"/>
  <c r="O338" i="2"/>
  <c r="M337" i="2"/>
  <c r="O337" i="2"/>
  <c r="O335" i="2"/>
  <c r="O333" i="2"/>
  <c r="O332" i="2"/>
  <c r="O330" i="2"/>
  <c r="O329" i="2"/>
  <c r="O327" i="2"/>
  <c r="O326" i="2"/>
  <c r="O324" i="2"/>
  <c r="O323" i="2"/>
  <c r="M322" i="2"/>
  <c r="O322" i="2"/>
  <c r="O320" i="2"/>
  <c r="O317" i="2"/>
  <c r="O315" i="2"/>
  <c r="O314" i="2"/>
  <c r="O312" i="2"/>
  <c r="O311" i="2"/>
  <c r="O309" i="2"/>
  <c r="O308" i="2"/>
  <c r="O306" i="2"/>
  <c r="M421" i="2"/>
  <c r="O421" i="2"/>
  <c r="N259" i="2"/>
  <c r="O259" i="2" s="1"/>
  <c r="N256" i="2"/>
  <c r="O256" i="2" s="1"/>
  <c r="N283" i="2"/>
  <c r="N280" i="2"/>
  <c r="N301" i="2"/>
  <c r="O301" i="2" s="1"/>
  <c r="N298" i="2"/>
  <c r="O298" i="2" s="1"/>
  <c r="N319" i="2"/>
  <c r="O319" i="2" s="1"/>
  <c r="N253" i="2"/>
  <c r="N136" i="2"/>
  <c r="N142" i="2"/>
  <c r="N211" i="2"/>
  <c r="N184" i="2"/>
  <c r="N187" i="2"/>
  <c r="N190" i="2"/>
  <c r="N64" i="2"/>
  <c r="N139" i="2"/>
  <c r="N217" i="2"/>
  <c r="O217" i="2" s="1"/>
  <c r="N154" i="2"/>
  <c r="N157" i="2"/>
  <c r="N229" i="2"/>
  <c r="N151" i="2"/>
  <c r="N244" i="2"/>
  <c r="N124" i="2"/>
  <c r="N172" i="2"/>
  <c r="N121" i="2"/>
  <c r="N169" i="2"/>
  <c r="N208" i="2"/>
  <c r="N214" i="2"/>
  <c r="O214" i="2" s="1"/>
  <c r="N226" i="2"/>
  <c r="N112" i="2"/>
  <c r="N118" i="2"/>
  <c r="N133" i="2"/>
  <c r="N166" i="2"/>
  <c r="N235" i="2"/>
  <c r="O235" i="2" s="1"/>
  <c r="N127" i="2"/>
  <c r="N160" i="2"/>
  <c r="N178" i="2"/>
  <c r="N193" i="2"/>
  <c r="N103" i="2"/>
  <c r="N130" i="2"/>
  <c r="N145" i="2"/>
  <c r="N115" i="2"/>
  <c r="N148" i="2"/>
  <c r="N163" i="2"/>
  <c r="N196" i="2"/>
  <c r="N205" i="2"/>
  <c r="N247" i="2"/>
  <c r="N241" i="2"/>
  <c r="N238" i="2"/>
  <c r="O238" i="2" s="1"/>
  <c r="N232" i="2"/>
  <c r="O232" i="2" s="1"/>
  <c r="N223" i="2"/>
  <c r="N220" i="2"/>
  <c r="N202" i="2"/>
  <c r="N199" i="2"/>
  <c r="N109" i="2"/>
  <c r="N106" i="2"/>
  <c r="N94" i="2"/>
  <c r="O94" i="2" s="1"/>
  <c r="N61" i="2"/>
  <c r="N67" i="2"/>
  <c r="N58" i="2"/>
  <c r="N88" i="2"/>
  <c r="N82" i="2"/>
  <c r="N85" i="2"/>
  <c r="N79" i="2"/>
  <c r="N76" i="2"/>
  <c r="N73" i="2"/>
  <c r="N4" i="2"/>
  <c r="N40" i="2"/>
  <c r="N25" i="2"/>
  <c r="N37" i="2"/>
  <c r="O37" i="2" s="1"/>
  <c r="N43" i="2"/>
  <c r="O43" i="2" s="1"/>
  <c r="N52" i="2"/>
  <c r="O2" i="2"/>
  <c r="N22" i="2"/>
  <c r="N55" i="2"/>
  <c r="N49" i="2"/>
  <c r="O49" i="2" s="1"/>
  <c r="N34" i="2"/>
  <c r="N28" i="2"/>
  <c r="N13" i="2"/>
  <c r="O13" i="2" s="1"/>
  <c r="N7" i="2"/>
  <c r="O7" i="2" s="1"/>
  <c r="N16" i="2"/>
  <c r="O16" i="2" s="1"/>
  <c r="N10" i="2"/>
  <c r="N31" i="2"/>
  <c r="N46" i="2"/>
  <c r="N19" i="2"/>
  <c r="O295" i="2" l="1"/>
  <c r="M358" i="2"/>
  <c r="O274" i="2"/>
  <c r="O310" i="2"/>
  <c r="O331" i="2"/>
  <c r="O100" i="2"/>
  <c r="O424" i="2"/>
  <c r="O304" i="2"/>
  <c r="M217" i="2"/>
  <c r="O271" i="2"/>
  <c r="M256" i="2"/>
  <c r="O268" i="2"/>
  <c r="O265" i="2"/>
  <c r="O286" i="2"/>
  <c r="M349" i="2"/>
  <c r="O361" i="2"/>
  <c r="O277" i="2"/>
  <c r="O325" i="2"/>
  <c r="M259" i="2"/>
  <c r="O340" i="2"/>
  <c r="O292" i="2"/>
  <c r="O289" i="2"/>
  <c r="M307" i="2"/>
  <c r="O250" i="2"/>
  <c r="M301" i="2"/>
  <c r="O427" i="2"/>
  <c r="O328" i="2"/>
  <c r="O262" i="2"/>
  <c r="M214" i="2"/>
  <c r="M298" i="2"/>
  <c r="O382" i="2"/>
  <c r="M19" i="2"/>
  <c r="O19" i="2"/>
  <c r="M46" i="2"/>
  <c r="O46" i="2"/>
  <c r="M31" i="2"/>
  <c r="O31" i="2"/>
  <c r="M10" i="2"/>
  <c r="O10" i="2"/>
  <c r="M28" i="2"/>
  <c r="O28" i="2"/>
  <c r="M34" i="2"/>
  <c r="O34" i="2"/>
  <c r="M55" i="2"/>
  <c r="O55" i="2"/>
  <c r="M22" i="2"/>
  <c r="O22" i="2"/>
  <c r="M52" i="2"/>
  <c r="O52" i="2"/>
  <c r="M25" i="2"/>
  <c r="O25" i="2"/>
  <c r="M40" i="2"/>
  <c r="O40" i="2"/>
  <c r="M4" i="2"/>
  <c r="O4" i="2"/>
  <c r="M73" i="2"/>
  <c r="O73" i="2"/>
  <c r="M76" i="2"/>
  <c r="O76" i="2"/>
  <c r="M79" i="2"/>
  <c r="O79" i="2"/>
  <c r="M85" i="2"/>
  <c r="O85" i="2"/>
  <c r="M82" i="2"/>
  <c r="O82" i="2"/>
  <c r="M88" i="2"/>
  <c r="O88" i="2"/>
  <c r="M58" i="2"/>
  <c r="O58" i="2"/>
  <c r="M67" i="2"/>
  <c r="O67" i="2"/>
  <c r="M61" i="2"/>
  <c r="O61" i="2"/>
  <c r="M106" i="2"/>
  <c r="O106" i="2"/>
  <c r="M109" i="2"/>
  <c r="O109" i="2"/>
  <c r="M199" i="2"/>
  <c r="O199" i="2"/>
  <c r="M202" i="2"/>
  <c r="O202" i="2"/>
  <c r="M220" i="2"/>
  <c r="O220" i="2"/>
  <c r="M223" i="2"/>
  <c r="O223" i="2"/>
  <c r="M241" i="2"/>
  <c r="O241" i="2"/>
  <c r="M247" i="2"/>
  <c r="O247" i="2"/>
  <c r="M205" i="2"/>
  <c r="O205" i="2"/>
  <c r="M196" i="2"/>
  <c r="O196" i="2"/>
  <c r="M163" i="2"/>
  <c r="O163" i="2"/>
  <c r="M148" i="2"/>
  <c r="O148" i="2"/>
  <c r="M115" i="2"/>
  <c r="O115" i="2"/>
  <c r="M145" i="2"/>
  <c r="O145" i="2"/>
  <c r="M130" i="2"/>
  <c r="O130" i="2"/>
  <c r="M103" i="2"/>
  <c r="O103" i="2"/>
  <c r="M193" i="2"/>
  <c r="O193" i="2"/>
  <c r="M178" i="2"/>
  <c r="O178" i="2"/>
  <c r="M160" i="2"/>
  <c r="O160" i="2"/>
  <c r="M127" i="2"/>
  <c r="O127" i="2"/>
  <c r="M166" i="2"/>
  <c r="O166" i="2"/>
  <c r="M133" i="2"/>
  <c r="O133" i="2"/>
  <c r="M118" i="2"/>
  <c r="O118" i="2"/>
  <c r="M112" i="2"/>
  <c r="O112" i="2"/>
  <c r="M226" i="2"/>
  <c r="O226" i="2"/>
  <c r="M208" i="2"/>
  <c r="O208" i="2"/>
  <c r="M169" i="2"/>
  <c r="O169" i="2"/>
  <c r="M121" i="2"/>
  <c r="O121" i="2"/>
  <c r="M172" i="2"/>
  <c r="O172" i="2"/>
  <c r="M124" i="2"/>
  <c r="O124" i="2"/>
  <c r="M244" i="2"/>
  <c r="O244" i="2"/>
  <c r="M151" i="2"/>
  <c r="O151" i="2"/>
  <c r="M229" i="2"/>
  <c r="O229" i="2"/>
  <c r="M157" i="2"/>
  <c r="O157" i="2"/>
  <c r="M154" i="2"/>
  <c r="O154" i="2"/>
  <c r="M139" i="2"/>
  <c r="O139" i="2"/>
  <c r="M64" i="2"/>
  <c r="O64" i="2"/>
  <c r="M190" i="2"/>
  <c r="O190" i="2"/>
  <c r="M187" i="2"/>
  <c r="O187" i="2"/>
  <c r="M184" i="2"/>
  <c r="O184" i="2"/>
  <c r="M211" i="2"/>
  <c r="O211" i="2"/>
  <c r="M142" i="2"/>
  <c r="O142" i="2"/>
  <c r="M136" i="2"/>
  <c r="O136" i="2"/>
  <c r="M253" i="2"/>
  <c r="O253" i="2"/>
  <c r="M280" i="2"/>
  <c r="O280" i="2"/>
  <c r="M283" i="2"/>
  <c r="O283" i="2"/>
  <c r="M235" i="2"/>
  <c r="M232" i="2"/>
  <c r="M238" i="2"/>
  <c r="M43" i="2"/>
  <c r="M16" i="2"/>
  <c r="M13" i="2"/>
  <c r="M49" i="2"/>
  <c r="M7" i="2"/>
  <c r="H469" i="2"/>
  <c r="H157" i="2"/>
  <c r="H253" i="2"/>
  <c r="H67" i="2"/>
  <c r="H379" i="2"/>
  <c r="H175" i="2"/>
  <c r="H409" i="2"/>
  <c r="H439" i="2"/>
  <c r="H475" i="2"/>
  <c r="H235" i="2"/>
  <c r="H403" i="2"/>
  <c r="H361" i="2"/>
  <c r="H421" i="2"/>
  <c r="H187" i="2"/>
  <c r="H73" i="2"/>
  <c r="H247" i="2"/>
  <c r="H463" i="2"/>
  <c r="H271" i="2"/>
  <c r="H37" i="2"/>
  <c r="H145" i="2"/>
  <c r="H115" i="2"/>
  <c r="H85" i="2"/>
  <c r="H109" i="2"/>
  <c r="H211" i="2"/>
  <c r="H289" i="2"/>
  <c r="H283" i="2"/>
  <c r="H301" i="2"/>
  <c r="H367" i="2"/>
  <c r="H97" i="2"/>
  <c r="H127" i="2"/>
  <c r="H349" i="2"/>
  <c r="H391" i="2"/>
  <c r="H457" i="2"/>
  <c r="H427" i="2"/>
  <c r="H307" i="2"/>
  <c r="H205" i="2"/>
  <c r="H163" i="2"/>
  <c r="H355" i="2"/>
  <c r="H7" i="2"/>
  <c r="H181" i="2"/>
  <c r="H61" i="2"/>
  <c r="H415" i="2"/>
  <c r="H265" i="2"/>
  <c r="H49" i="2"/>
  <c r="H325" i="2"/>
  <c r="H397" i="2"/>
  <c r="H19" i="2"/>
  <c r="H121" i="2"/>
  <c r="H241" i="2"/>
  <c r="H91" i="2"/>
  <c r="H337" i="2"/>
  <c r="H139" i="2"/>
  <c r="H199" i="2"/>
  <c r="H193" i="2"/>
  <c r="H451" i="2"/>
  <c r="H31" i="2"/>
  <c r="H103" i="2"/>
  <c r="H217" i="2"/>
  <c r="H295" i="2"/>
  <c r="H319" i="2"/>
  <c r="H481" i="2"/>
  <c r="H43" i="2"/>
  <c r="H277" i="2"/>
  <c r="H151" i="2"/>
  <c r="H373" i="2"/>
  <c r="H79" i="2"/>
  <c r="H55" i="2"/>
  <c r="H223" i="2"/>
  <c r="H313" i="2"/>
  <c r="H433" i="2"/>
  <c r="H229" i="2"/>
  <c r="H343" i="2"/>
  <c r="H259" i="2"/>
  <c r="H385" i="2"/>
  <c r="H13" i="2"/>
  <c r="H133" i="2"/>
  <c r="H25" i="2"/>
  <c r="H331" i="2"/>
  <c r="H169" i="2"/>
  <c r="H445" i="2"/>
  <c r="H244" i="2"/>
  <c r="H28" i="2"/>
  <c r="H148" i="2"/>
  <c r="H196" i="2"/>
  <c r="H256" i="2"/>
  <c r="H304" i="2"/>
  <c r="H364" i="2"/>
  <c r="H142" i="2"/>
  <c r="H190" i="2"/>
  <c r="H232" i="2"/>
  <c r="H298" i="2"/>
  <c r="H418" i="2"/>
  <c r="H394" i="2"/>
  <c r="H346" i="2"/>
  <c r="H274" i="2"/>
  <c r="H202" i="2"/>
  <c r="H106" i="2"/>
  <c r="H82" i="2"/>
  <c r="H58" i="2"/>
  <c r="H10" i="2"/>
  <c r="H40" i="2"/>
  <c r="H64" i="2"/>
  <c r="H88" i="2"/>
  <c r="H136" i="2"/>
  <c r="H184" i="2"/>
  <c r="H226" i="2"/>
  <c r="H292" i="2"/>
  <c r="H322" i="2"/>
  <c r="H400" i="2"/>
  <c r="H466" i="2"/>
  <c r="H34" i="2"/>
  <c r="H130" i="2"/>
  <c r="H178" i="2"/>
  <c r="H220" i="2"/>
  <c r="H286" i="2"/>
  <c r="H340" i="2"/>
  <c r="H448" i="2"/>
  <c r="H472" i="2"/>
  <c r="H424" i="2"/>
  <c r="H376" i="2"/>
  <c r="H352" i="2"/>
  <c r="H328" i="2"/>
  <c r="H280" i="2"/>
  <c r="H208" i="2"/>
  <c r="H160" i="2"/>
  <c r="H112" i="2"/>
  <c r="H16" i="2"/>
  <c r="H172" i="2"/>
  <c r="H214" i="2"/>
  <c r="H316" i="2"/>
  <c r="H412" i="2"/>
  <c r="H370" i="2"/>
  <c r="H388" i="2"/>
  <c r="H430" i="2"/>
  <c r="H478" i="2"/>
  <c r="H250" i="2"/>
  <c r="H442" i="2"/>
  <c r="H22" i="2"/>
  <c r="H70" i="2"/>
  <c r="H118" i="2"/>
  <c r="H166" i="2"/>
  <c r="H334" i="2"/>
  <c r="H358" i="2"/>
  <c r="H460" i="2"/>
  <c r="H454" i="2"/>
  <c r="H406" i="2"/>
  <c r="H382" i="2"/>
  <c r="H310" i="2"/>
  <c r="H262" i="2"/>
  <c r="H238" i="2"/>
  <c r="H94" i="2"/>
  <c r="H46" i="2"/>
  <c r="H154" i="2"/>
  <c r="H52" i="2"/>
  <c r="H100" i="2"/>
  <c r="H436" i="2"/>
  <c r="H484" i="2"/>
  <c r="H76" i="2"/>
  <c r="H124" i="2"/>
  <c r="H268" i="2"/>
  <c r="N370" i="2"/>
  <c r="O370" i="2" s="1"/>
  <c r="N364" i="2"/>
  <c r="O364" i="2" s="1"/>
  <c r="M70" i="2"/>
  <c r="N70" i="2"/>
  <c r="O70" i="2"/>
  <c r="M376" i="2"/>
  <c r="N376" i="2"/>
  <c r="O376" i="2"/>
</calcChain>
</file>

<file path=xl/sharedStrings.xml><?xml version="1.0" encoding="utf-8"?>
<sst xmlns="http://schemas.openxmlformats.org/spreadsheetml/2006/main" count="3010" uniqueCount="55">
  <si>
    <t>INGRESO</t>
  </si>
  <si>
    <t>SALIDA</t>
  </si>
  <si>
    <t>PROYECTADO</t>
  </si>
  <si>
    <t>DIA</t>
  </si>
  <si>
    <t>RECORRIDO</t>
  </si>
  <si>
    <t>JORNADA</t>
  </si>
  <si>
    <t>PARADERO1</t>
  </si>
  <si>
    <t>PARADERO2</t>
  </si>
  <si>
    <t>HORARIO-P1</t>
  </si>
  <si>
    <t>HORARIO-P2</t>
  </si>
  <si>
    <t>TIEMPO APROXIMADO DE RECORRIDO Y RETORNO (mts)</t>
  </si>
  <si>
    <t>R1</t>
  </si>
  <si>
    <t>MAÑANA</t>
  </si>
  <si>
    <t>ESTACIÓN TMS</t>
  </si>
  <si>
    <t>KOA</t>
  </si>
  <si>
    <t>R2</t>
  </si>
  <si>
    <t>R3</t>
  </si>
  <si>
    <t>TARDE</t>
  </si>
  <si>
    <t>HABITUAL</t>
  </si>
  <si>
    <t>HORARIO</t>
  </si>
  <si>
    <t>ORIGEN</t>
  </si>
  <si>
    <t>DESTINO</t>
  </si>
  <si>
    <t>ESTACIÓN HEROES</t>
  </si>
  <si>
    <t>6:30:00 a. m.</t>
  </si>
  <si>
    <t>7:00:00 a. m.</t>
  </si>
  <si>
    <t>7:30:00 a. m.</t>
  </si>
  <si>
    <r>
      <t>ESTACIÓN (</t>
    </r>
    <r>
      <rPr>
        <sz val="12"/>
        <color rgb="FF000000"/>
        <rFont val="Arial"/>
        <family val="2"/>
      </rPr>
      <t>Virrey, Héroes y Polo)</t>
    </r>
  </si>
  <si>
    <t>5:10:00 p. m.</t>
  </si>
  <si>
    <t>5:45:00 p. m.</t>
  </si>
  <si>
    <t>6:20:00 p. m.</t>
  </si>
  <si>
    <t>Tipo de jornada</t>
  </si>
  <si>
    <t>DIA DEL SERVICIO</t>
  </si>
  <si>
    <t>HORARIO-P1-REAL DE INICIO</t>
  </si>
  <si>
    <t xml:space="preserve">HORARIO-P2 REAL </t>
  </si>
  <si>
    <t>Hora de posición(vh)R1P1</t>
  </si>
  <si>
    <t>Hora de inicio R1P1</t>
  </si>
  <si>
    <t>tiempo de espera vehiculo</t>
  </si>
  <si>
    <t>Hora de llegada a KOA  P2</t>
  </si>
  <si>
    <t>Tiempo  de trayecto ida -regreso</t>
  </si>
  <si>
    <t>Tiempo REAL con gabela de espera</t>
  </si>
  <si>
    <t>usuarios</t>
  </si>
  <si>
    <t>PARADAS</t>
  </si>
  <si>
    <t>diaop</t>
  </si>
  <si>
    <t>JM</t>
  </si>
  <si>
    <t>JT</t>
  </si>
  <si>
    <t>NO SALIERON USUARIOS</t>
  </si>
  <si>
    <t>NO SE ALCANZO A REALIZAR RECORRIDO-CONGESTIÓN VH.</t>
  </si>
  <si>
    <t>POLO</t>
  </si>
  <si>
    <t>VIRREY Y POLO</t>
  </si>
  <si>
    <t>VIRREY</t>
  </si>
  <si>
    <t>HEROES</t>
  </si>
  <si>
    <t>OXXOHEROES</t>
  </si>
  <si>
    <t>VIRREY Y HEROES</t>
  </si>
  <si>
    <t>ALTO FLUJO VH</t>
  </si>
  <si>
    <t>VIRREY, HEROES Y 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</si>
</sst>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2"/>
      <color indexed="8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0" fontId="1" fillId="2" borderId="1" xfId="0" applyFont="1" applyFill="1" applyBorder="1">
      <alignment vertical="top"/>
    </xf>
    <xf numFmtId="164" fontId="0" fillId="2" borderId="1" xfId="0" applyNumberFormat="1" applyFill="1" applyBorder="1" applyAlignment="1">
      <alignment horizontal="center" vertical="center"/>
    </xf>
    <xf numFmtId="164" fontId="0" fillId="0" borderId="0" xfId="0" applyNumberFormat="1">
      <alignment vertical="top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>
      <alignment vertical="top"/>
    </xf>
    <xf numFmtId="0" fontId="1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5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2" borderId="3" xfId="0" applyFont="1" applyFill="1" applyBorder="1">
      <alignment vertical="top"/>
    </xf>
    <xf numFmtId="164" fontId="0" fillId="2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14" fontId="6" fillId="0" borderId="0" xfId="0" applyNumberFormat="1" applyFont="1">
      <alignment vertical="top"/>
    </xf>
    <xf numFmtId="0" fontId="0" fillId="0" borderId="0" xfId="0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D6F4-6E5C-4127-B1C6-92BF600D466F}">
  <dimension ref="B2:J21"/>
  <sheetViews>
    <sheetView showGridLines="0" topLeftCell="B9" workbookViewId="0">
      <selection activeCell="H25" sqref="H25"/>
    </sheetView>
  </sheetViews>
  <sheetFormatPr baseColWidth="10" defaultColWidth="11.42578125" defaultRowHeight="12.75" x14ac:dyDescent="0.2"/>
  <cols>
    <col min="4" max="4" width="11.85546875" bestFit="1" customWidth="1"/>
    <col min="5" max="6" width="14.7109375" bestFit="1" customWidth="1"/>
    <col min="7" max="7" width="11.85546875" bestFit="1" customWidth="1"/>
    <col min="8" max="8" width="12.85546875" bestFit="1" customWidth="1"/>
    <col min="10" max="10" width="11.85546875" bestFit="1" customWidth="1"/>
  </cols>
  <sheetData>
    <row r="2" spans="2:10" x14ac:dyDescent="0.2">
      <c r="C2" s="1" t="s">
        <v>0</v>
      </c>
      <c r="D2" s="2">
        <v>0.33333333333333331</v>
      </c>
    </row>
    <row r="3" spans="2:10" x14ac:dyDescent="0.2">
      <c r="C3" s="10" t="s">
        <v>1</v>
      </c>
      <c r="D3" s="11">
        <v>0.70833333333333337</v>
      </c>
      <c r="E3" t="s">
        <v>2</v>
      </c>
    </row>
    <row r="4" spans="2:10" ht="90" x14ac:dyDescent="0.2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2:10" x14ac:dyDescent="0.2">
      <c r="B5" s="5"/>
      <c r="C5" s="6" t="s">
        <v>11</v>
      </c>
      <c r="D5" s="6" t="s">
        <v>12</v>
      </c>
      <c r="E5" s="6" t="s">
        <v>13</v>
      </c>
      <c r="F5" s="6" t="s">
        <v>14</v>
      </c>
      <c r="G5" s="7">
        <v>0.27083333333333331</v>
      </c>
      <c r="H5" s="7">
        <f>+G5+I5/2</f>
        <v>0.28125</v>
      </c>
      <c r="I5" s="8">
        <f>+G6-G5</f>
        <v>2.083333333333337E-2</v>
      </c>
    </row>
    <row r="6" spans="2:10" x14ac:dyDescent="0.2">
      <c r="B6" s="5"/>
      <c r="C6" s="6" t="s">
        <v>15</v>
      </c>
      <c r="D6" s="6" t="s">
        <v>12</v>
      </c>
      <c r="E6" s="6" t="s">
        <v>13</v>
      </c>
      <c r="F6" s="6" t="s">
        <v>14</v>
      </c>
      <c r="G6" s="7">
        <v>0.29166666666666669</v>
      </c>
      <c r="H6" s="7">
        <f>+G6+I6/2</f>
        <v>0.30729166666666669</v>
      </c>
      <c r="I6" s="8">
        <f>+G7-G6</f>
        <v>3.125E-2</v>
      </c>
    </row>
    <row r="7" spans="2:10" x14ac:dyDescent="0.2">
      <c r="B7" s="5"/>
      <c r="C7" s="6" t="s">
        <v>16</v>
      </c>
      <c r="D7" s="6" t="s">
        <v>12</v>
      </c>
      <c r="E7" s="6" t="s">
        <v>13</v>
      </c>
      <c r="F7" s="6" t="s">
        <v>14</v>
      </c>
      <c r="G7" s="7">
        <v>0.32291666666666669</v>
      </c>
      <c r="H7" s="7">
        <f>+G7+I7/2</f>
        <v>0.328125</v>
      </c>
      <c r="I7" s="8">
        <f>+D2-G7</f>
        <v>1.041666666666663E-2</v>
      </c>
    </row>
    <row r="8" spans="2:10" x14ac:dyDescent="0.2">
      <c r="B8" s="5"/>
      <c r="C8" s="6" t="s">
        <v>11</v>
      </c>
      <c r="D8" s="6" t="s">
        <v>17</v>
      </c>
      <c r="E8" s="6" t="s">
        <v>14</v>
      </c>
      <c r="F8" s="6" t="s">
        <v>13</v>
      </c>
      <c r="G8" s="7">
        <v>0.71527777777777779</v>
      </c>
      <c r="H8" s="7">
        <f>+G8+I8/2</f>
        <v>0.72743055555555558</v>
      </c>
      <c r="I8" s="8">
        <f>+G9-G8</f>
        <v>2.430555555555558E-2</v>
      </c>
    </row>
    <row r="9" spans="2:10" x14ac:dyDescent="0.2">
      <c r="B9" s="5"/>
      <c r="C9" s="6" t="s">
        <v>15</v>
      </c>
      <c r="D9" s="6" t="s">
        <v>17</v>
      </c>
      <c r="E9" s="6" t="s">
        <v>14</v>
      </c>
      <c r="F9" s="6" t="s">
        <v>13</v>
      </c>
      <c r="G9" s="7">
        <v>0.73958333333333337</v>
      </c>
      <c r="H9" s="7">
        <f>+G9+I9/2</f>
        <v>0.75173611111111116</v>
      </c>
      <c r="I9" s="8">
        <f>+G10-G9</f>
        <v>2.4305555555555469E-2</v>
      </c>
      <c r="J9" s="3"/>
    </row>
    <row r="10" spans="2:10" x14ac:dyDescent="0.2">
      <c r="B10" s="5"/>
      <c r="C10" s="6" t="s">
        <v>16</v>
      </c>
      <c r="D10" s="6" t="s">
        <v>17</v>
      </c>
      <c r="E10" s="6" t="s">
        <v>14</v>
      </c>
      <c r="F10" s="6" t="s">
        <v>13</v>
      </c>
      <c r="G10" s="7">
        <v>0.76388888888888884</v>
      </c>
      <c r="H10" s="7">
        <f>+G10+I10/1440</f>
        <v>0.77569444444444435</v>
      </c>
      <c r="I10" s="9">
        <v>17</v>
      </c>
    </row>
    <row r="13" spans="2:10" x14ac:dyDescent="0.2">
      <c r="C13" s="1" t="s">
        <v>0</v>
      </c>
      <c r="D13" s="2">
        <v>0.33333333333333331</v>
      </c>
    </row>
    <row r="14" spans="2:10" x14ac:dyDescent="0.2">
      <c r="C14" s="10" t="s">
        <v>1</v>
      </c>
      <c r="D14" s="11">
        <v>0.70833333333333337</v>
      </c>
      <c r="E14" t="s">
        <v>18</v>
      </c>
    </row>
    <row r="15" spans="2:10" ht="29.25" customHeight="1" x14ac:dyDescent="0.2">
      <c r="B15" s="4" t="s">
        <v>3</v>
      </c>
      <c r="C15" s="4" t="s">
        <v>4</v>
      </c>
      <c r="D15" s="4" t="s">
        <v>5</v>
      </c>
      <c r="E15" s="4" t="s">
        <v>6</v>
      </c>
      <c r="F15" s="4" t="s">
        <v>7</v>
      </c>
      <c r="G15" s="4" t="s">
        <v>19</v>
      </c>
      <c r="H15" s="4" t="s">
        <v>9</v>
      </c>
      <c r="I15" s="4" t="s">
        <v>10</v>
      </c>
    </row>
    <row r="16" spans="2:10" x14ac:dyDescent="0.2">
      <c r="B16" s="5"/>
      <c r="C16" s="6" t="s">
        <v>11</v>
      </c>
      <c r="D16" s="6" t="s">
        <v>12</v>
      </c>
      <c r="E16" s="6" t="s">
        <v>13</v>
      </c>
      <c r="F16" s="6" t="s">
        <v>14</v>
      </c>
      <c r="G16" s="7">
        <v>0.27083333333333331</v>
      </c>
      <c r="H16" s="7">
        <f>+G16+I16/2</f>
        <v>0.28125</v>
      </c>
      <c r="I16" s="8">
        <f>+G17-G16</f>
        <v>2.083333333333337E-2</v>
      </c>
    </row>
    <row r="17" spans="2:9" x14ac:dyDescent="0.2">
      <c r="B17" s="5"/>
      <c r="C17" s="6" t="s">
        <v>15</v>
      </c>
      <c r="D17" s="6" t="s">
        <v>12</v>
      </c>
      <c r="E17" s="6" t="s">
        <v>13</v>
      </c>
      <c r="F17" s="6" t="s">
        <v>14</v>
      </c>
      <c r="G17" s="7">
        <v>0.29166666666666669</v>
      </c>
      <c r="H17" s="7">
        <f>+G17+I17/2</f>
        <v>0.30208333333333337</v>
      </c>
      <c r="I17" s="8">
        <f>+G18-G17</f>
        <v>2.0833333333333315E-2</v>
      </c>
    </row>
    <row r="18" spans="2:9" x14ac:dyDescent="0.2">
      <c r="B18" s="5"/>
      <c r="C18" s="6" t="s">
        <v>16</v>
      </c>
      <c r="D18" s="6" t="s">
        <v>12</v>
      </c>
      <c r="E18" s="6" t="s">
        <v>13</v>
      </c>
      <c r="F18" s="6" t="s">
        <v>14</v>
      </c>
      <c r="G18" s="7">
        <v>0.3125</v>
      </c>
      <c r="H18" s="7">
        <f>+G18+I18/2</f>
        <v>0.32291666666666663</v>
      </c>
      <c r="I18" s="8">
        <f>+D13-G18</f>
        <v>2.0833333333333315E-2</v>
      </c>
    </row>
    <row r="19" spans="2:9" x14ac:dyDescent="0.2">
      <c r="B19" s="5"/>
      <c r="C19" s="6" t="s">
        <v>11</v>
      </c>
      <c r="D19" s="6" t="s">
        <v>17</v>
      </c>
      <c r="E19" s="6" t="s">
        <v>14</v>
      </c>
      <c r="F19" s="6" t="s">
        <v>13</v>
      </c>
      <c r="G19" s="7">
        <v>0.71527777777777779</v>
      </c>
      <c r="H19" s="7">
        <f>+G19+I19/2</f>
        <v>0.72743055555555558</v>
      </c>
      <c r="I19" s="8">
        <f>+G20-G19</f>
        <v>2.430555555555558E-2</v>
      </c>
    </row>
    <row r="20" spans="2:9" x14ac:dyDescent="0.2">
      <c r="B20" s="5"/>
      <c r="C20" s="6" t="s">
        <v>15</v>
      </c>
      <c r="D20" s="6" t="s">
        <v>17</v>
      </c>
      <c r="E20" s="6" t="s">
        <v>14</v>
      </c>
      <c r="F20" s="6" t="s">
        <v>13</v>
      </c>
      <c r="G20" s="7">
        <v>0.73958333333333337</v>
      </c>
      <c r="H20" s="7">
        <f>+G20+I20/2</f>
        <v>0.75173611111111116</v>
      </c>
      <c r="I20" s="8">
        <f>+G21-G20</f>
        <v>2.4305555555555469E-2</v>
      </c>
    </row>
    <row r="21" spans="2:9" x14ac:dyDescent="0.2">
      <c r="B21" s="5"/>
      <c r="C21" s="6" t="s">
        <v>16</v>
      </c>
      <c r="D21" s="6" t="s">
        <v>17</v>
      </c>
      <c r="E21" s="6" t="s">
        <v>14</v>
      </c>
      <c r="F21" s="6" t="s">
        <v>13</v>
      </c>
      <c r="G21" s="7">
        <v>0.76388888888888884</v>
      </c>
      <c r="H21" s="7">
        <f>+G21+I21/1440</f>
        <v>0.77569444444444435</v>
      </c>
      <c r="I21" s="9">
        <v>17</v>
      </c>
    </row>
  </sheetData>
  <pageMargins left="0.7" right="0.7" top="0.75" bottom="0.75" header="0.3" footer="0.3"/>
  <headerFooter>
    <oddFooter>&amp;L_x000D_&amp;1#&amp;"Aptos"&amp;10&amp;KFFFF00 Documento Privado -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6D62-9BA5-4378-BD6B-67A1C6172548}">
  <dimension ref="A1:E7"/>
  <sheetViews>
    <sheetView workbookViewId="0">
      <selection activeCell="D11" sqref="D11"/>
    </sheetView>
  </sheetViews>
  <sheetFormatPr baseColWidth="10" defaultColWidth="15" defaultRowHeight="12.75" x14ac:dyDescent="0.2"/>
  <cols>
    <col min="1" max="1" width="16.7109375" customWidth="1"/>
    <col min="2" max="2" width="14" customWidth="1"/>
    <col min="3" max="3" width="23.140625" bestFit="1" customWidth="1"/>
    <col min="4" max="4" width="36.28515625" bestFit="1" customWidth="1"/>
    <col min="5" max="5" width="14.140625" bestFit="1" customWidth="1"/>
  </cols>
  <sheetData>
    <row r="1" spans="1:5" ht="16.5" thickBot="1" x14ac:dyDescent="0.25">
      <c r="A1" s="15" t="s">
        <v>4</v>
      </c>
      <c r="B1" s="15" t="s">
        <v>5</v>
      </c>
      <c r="C1" s="15" t="s">
        <v>20</v>
      </c>
      <c r="D1" s="15" t="s">
        <v>21</v>
      </c>
      <c r="E1" s="15" t="s">
        <v>19</v>
      </c>
    </row>
    <row r="2" spans="1:5" ht="15.75" thickBot="1" x14ac:dyDescent="0.25">
      <c r="A2" s="14" t="s">
        <v>11</v>
      </c>
      <c r="B2" s="14" t="s">
        <v>12</v>
      </c>
      <c r="C2" s="14" t="s">
        <v>22</v>
      </c>
      <c r="D2" s="14" t="s">
        <v>14</v>
      </c>
      <c r="E2" s="14" t="s">
        <v>23</v>
      </c>
    </row>
    <row r="3" spans="1:5" ht="15.75" thickBot="1" x14ac:dyDescent="0.25">
      <c r="A3" s="14" t="s">
        <v>15</v>
      </c>
      <c r="B3" s="14" t="s">
        <v>12</v>
      </c>
      <c r="C3" s="14" t="s">
        <v>22</v>
      </c>
      <c r="D3" s="14" t="s">
        <v>14</v>
      </c>
      <c r="E3" s="14" t="s">
        <v>24</v>
      </c>
    </row>
    <row r="4" spans="1:5" ht="15.75" thickBot="1" x14ac:dyDescent="0.25">
      <c r="A4" s="14" t="s">
        <v>16</v>
      </c>
      <c r="B4" s="14" t="s">
        <v>12</v>
      </c>
      <c r="C4" s="14" t="s">
        <v>22</v>
      </c>
      <c r="D4" s="14" t="s">
        <v>14</v>
      </c>
      <c r="E4" s="14" t="s">
        <v>25</v>
      </c>
    </row>
    <row r="5" spans="1:5" ht="15.75" thickBot="1" x14ac:dyDescent="0.25">
      <c r="A5" s="14" t="s">
        <v>11</v>
      </c>
      <c r="B5" s="14" t="s">
        <v>17</v>
      </c>
      <c r="C5" s="14" t="s">
        <v>14</v>
      </c>
      <c r="D5" s="14" t="s">
        <v>26</v>
      </c>
      <c r="E5" s="14" t="s">
        <v>27</v>
      </c>
    </row>
    <row r="6" spans="1:5" ht="15.75" thickBot="1" x14ac:dyDescent="0.25">
      <c r="A6" s="14" t="s">
        <v>15</v>
      </c>
      <c r="B6" s="14" t="s">
        <v>17</v>
      </c>
      <c r="C6" s="14" t="s">
        <v>14</v>
      </c>
      <c r="D6" s="14" t="s">
        <v>26</v>
      </c>
      <c r="E6" s="14" t="s">
        <v>28</v>
      </c>
    </row>
    <row r="7" spans="1:5" ht="15.75" thickBot="1" x14ac:dyDescent="0.25">
      <c r="A7" s="14" t="s">
        <v>16</v>
      </c>
      <c r="B7" s="14" t="s">
        <v>17</v>
      </c>
      <c r="C7" s="14" t="s">
        <v>14</v>
      </c>
      <c r="D7" s="14" t="s">
        <v>26</v>
      </c>
      <c r="E7" s="14" t="s">
        <v>29</v>
      </c>
    </row>
  </sheetData>
  <pageMargins left="0.7" right="0.7" top="0.75" bottom="0.75" header="0.3" footer="0.3"/>
  <headerFooter>
    <oddFooter>&amp;L_x000D_&amp;1#&amp;"Aptos"&amp;10&amp;KFFFF00 Documento Privado -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87DD-72F2-4722-931B-911393545C0E}">
  <dimension ref="A1:A18"/>
  <sheetViews>
    <sheetView workbookViewId="0">
      <selection activeCell="D9" sqref="D9"/>
    </sheetView>
  </sheetViews>
  <sheetFormatPr baseColWidth="10" defaultColWidth="9.140625" defaultRowHeight="12.75" x14ac:dyDescent="0.2"/>
  <cols>
    <col min="1" max="1" width="19" customWidth="1"/>
  </cols>
  <sheetData>
    <row r="1" spans="1:1" ht="15" x14ac:dyDescent="0.2">
      <c r="A1" s="16">
        <v>46023</v>
      </c>
    </row>
    <row r="2" spans="1:1" ht="15" x14ac:dyDescent="0.2">
      <c r="A2" s="16">
        <v>46034</v>
      </c>
    </row>
    <row r="3" spans="1:1" ht="15" x14ac:dyDescent="0.2">
      <c r="A3" s="16">
        <v>46104</v>
      </c>
    </row>
    <row r="4" spans="1:1" ht="15" x14ac:dyDescent="0.2">
      <c r="A4" s="16">
        <v>46114</v>
      </c>
    </row>
    <row r="5" spans="1:1" ht="15" x14ac:dyDescent="0.2">
      <c r="A5" s="16">
        <v>46115</v>
      </c>
    </row>
    <row r="6" spans="1:1" ht="15" x14ac:dyDescent="0.2">
      <c r="A6" s="16">
        <v>46143</v>
      </c>
    </row>
    <row r="7" spans="1:1" ht="15" x14ac:dyDescent="0.2">
      <c r="A7" s="16">
        <v>46160</v>
      </c>
    </row>
    <row r="8" spans="1:1" ht="15" x14ac:dyDescent="0.2">
      <c r="A8" s="16">
        <v>46181</v>
      </c>
    </row>
    <row r="9" spans="1:1" ht="15" x14ac:dyDescent="0.2">
      <c r="A9" s="16">
        <v>46188</v>
      </c>
    </row>
    <row r="10" spans="1:1" ht="15" x14ac:dyDescent="0.2">
      <c r="A10" s="16">
        <v>46223</v>
      </c>
    </row>
    <row r="11" spans="1:1" ht="15" x14ac:dyDescent="0.2">
      <c r="A11" s="16">
        <v>46241</v>
      </c>
    </row>
    <row r="12" spans="1:1" ht="15" x14ac:dyDescent="0.2">
      <c r="A12" s="16">
        <v>46251</v>
      </c>
    </row>
    <row r="13" spans="1:1" ht="15" x14ac:dyDescent="0.2">
      <c r="A13" s="16">
        <v>46307</v>
      </c>
    </row>
    <row r="14" spans="1:1" ht="15" x14ac:dyDescent="0.2">
      <c r="A14" s="16">
        <v>46328</v>
      </c>
    </row>
    <row r="15" spans="1:1" ht="15" x14ac:dyDescent="0.2">
      <c r="A15" s="16">
        <v>46342</v>
      </c>
    </row>
    <row r="16" spans="1:1" ht="15" x14ac:dyDescent="0.2">
      <c r="A16" s="16">
        <v>46364</v>
      </c>
    </row>
    <row r="17" spans="1:1" ht="15" x14ac:dyDescent="0.2">
      <c r="A17" s="16">
        <v>46381</v>
      </c>
    </row>
    <row r="18" spans="1:1" ht="15" x14ac:dyDescent="0.2">
      <c r="A18" s="16">
        <v>46202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51B4-BA6E-4A34-9114-2ABF45813D1B}">
  <dimension ref="A1:AP487"/>
  <sheetViews>
    <sheetView tabSelected="1" zoomScaleNormal="100" workbookViewId="0">
      <selection activeCell="V6" sqref="V6"/>
    </sheetView>
  </sheetViews>
  <sheetFormatPr baseColWidth="10" defaultColWidth="5.7109375" defaultRowHeight="15.75" customHeight="1" x14ac:dyDescent="0.2"/>
  <cols>
    <col min="1" max="1" width="5.7109375" style="12"/>
    <col min="2" max="2" width="16.42578125" style="13" bestFit="1" customWidth="1"/>
    <col min="3" max="3" width="5.7109375" style="12"/>
    <col min="4" max="9" width="5.7109375" style="12" hidden="1" customWidth="1"/>
    <col min="10" max="16" width="10.140625" style="12" customWidth="1"/>
    <col min="17" max="17" width="10.140625" style="17" customWidth="1"/>
    <col min="18" max="18" width="10.140625" style="12" customWidth="1"/>
    <col min="19" max="16384" width="5.7109375" style="12"/>
  </cols>
  <sheetData>
    <row r="1" spans="1:18" ht="39.75" customHeight="1" x14ac:dyDescent="0.2">
      <c r="A1" s="4" t="s">
        <v>30</v>
      </c>
      <c r="B1" s="18" t="s">
        <v>31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32</v>
      </c>
      <c r="H1" s="4" t="s">
        <v>33</v>
      </c>
      <c r="I1" s="4" t="s">
        <v>10</v>
      </c>
      <c r="J1" s="19" t="s">
        <v>34</v>
      </c>
      <c r="K1" s="19" t="s">
        <v>35</v>
      </c>
      <c r="L1" s="19" t="s">
        <v>36</v>
      </c>
      <c r="M1" s="19" t="s">
        <v>37</v>
      </c>
      <c r="N1" s="19" t="s">
        <v>38</v>
      </c>
      <c r="O1" s="19" t="s">
        <v>39</v>
      </c>
      <c r="P1" s="19" t="s">
        <v>40</v>
      </c>
      <c r="Q1" s="19" t="s">
        <v>41</v>
      </c>
      <c r="R1" s="19" t="s">
        <v>42</v>
      </c>
    </row>
    <row r="2" spans="1:18" ht="15.75" customHeight="1" x14ac:dyDescent="0.2">
      <c r="A2" s="22" t="s">
        <v>43</v>
      </c>
      <c r="B2" s="23">
        <v>46111</v>
      </c>
      <c r="C2" s="6" t="s">
        <v>11</v>
      </c>
      <c r="D2" s="6" t="s">
        <v>12</v>
      </c>
      <c r="E2" s="6" t="s">
        <v>13</v>
      </c>
      <c r="F2" s="6" t="s">
        <v>14</v>
      </c>
      <c r="G2" s="24">
        <v>0.27083333333333331</v>
      </c>
      <c r="H2" s="24">
        <f>+G2+I2</f>
        <v>0.29166666666666669</v>
      </c>
      <c r="I2" s="8">
        <f>+G3-G2</f>
        <v>2.083333333333337E-2</v>
      </c>
      <c r="J2" s="24">
        <v>0.26458333333333334</v>
      </c>
      <c r="K2" s="24">
        <v>0.27361111111111114</v>
      </c>
      <c r="L2" s="24">
        <f t="shared" ref="L2:L65" si="0">+K2-J2</f>
        <v>9.0277777777778012E-3</v>
      </c>
      <c r="M2" s="24">
        <v>0.28819444444444442</v>
      </c>
      <c r="N2" s="8">
        <f>+M2-K2</f>
        <v>1.4583333333333282E-2</v>
      </c>
      <c r="O2" s="24">
        <f t="shared" ref="O2:O65" si="1">+L2+N2</f>
        <v>2.3611111111111083E-2</v>
      </c>
      <c r="P2" s="22">
        <v>3</v>
      </c>
      <c r="Q2" s="25" t="s">
        <v>51</v>
      </c>
      <c r="R2" s="22" t="str">
        <f>IF(COUNTIF(fest!$A$1:$A$18,B2)&gt;0,"FESTIVO", IF(OR(WEEKDAY(B2,2)=6,WEEKDAY(B2,2)=7),"NO HÁBIL","HÁBIL"))</f>
        <v>HÁBIL</v>
      </c>
    </row>
    <row r="3" spans="1:18" ht="15.75" customHeight="1" x14ac:dyDescent="0.2">
      <c r="A3" s="22" t="s">
        <v>43</v>
      </c>
      <c r="B3" s="23">
        <v>46111</v>
      </c>
      <c r="C3" s="6" t="s">
        <v>15</v>
      </c>
      <c r="D3" s="6" t="s">
        <v>12</v>
      </c>
      <c r="E3" s="6" t="s">
        <v>13</v>
      </c>
      <c r="F3" s="6" t="s">
        <v>14</v>
      </c>
      <c r="G3" s="24">
        <v>0.29166666666666669</v>
      </c>
      <c r="H3" s="24">
        <f t="shared" ref="H3:H66" si="2">+G3+I3</f>
        <v>0.3125</v>
      </c>
      <c r="I3" s="8">
        <f t="shared" ref="I3:I66" si="3">+G4-G3</f>
        <v>2.0833333333333315E-2</v>
      </c>
      <c r="J3" s="24">
        <v>0.28819444444444442</v>
      </c>
      <c r="K3" s="24">
        <v>0.29375000000000001</v>
      </c>
      <c r="L3" s="24">
        <f t="shared" si="0"/>
        <v>5.5555555555555913E-3</v>
      </c>
      <c r="M3" s="24">
        <v>0.30972222222222223</v>
      </c>
      <c r="N3" s="8">
        <f>+M3-K3</f>
        <v>1.5972222222222221E-2</v>
      </c>
      <c r="O3" s="24">
        <f t="shared" si="1"/>
        <v>2.1527777777777812E-2</v>
      </c>
      <c r="P3" s="22">
        <v>3</v>
      </c>
      <c r="Q3" s="25" t="s">
        <v>51</v>
      </c>
      <c r="R3" s="22" t="str">
        <f>IF(COUNTIF(fest!$A$1:$A$18,B3)&gt;0,"FESTIVO", IF(OR(WEEKDAY(B3,2)=6,WEEKDAY(B3,2)=7),"NO HÁBIL","HÁBIL"))</f>
        <v>HÁBIL</v>
      </c>
    </row>
    <row r="4" spans="1:18" ht="15.75" customHeight="1" x14ac:dyDescent="0.2">
      <c r="A4" s="22" t="s">
        <v>43</v>
      </c>
      <c r="B4" s="23">
        <v>46111</v>
      </c>
      <c r="C4" s="6" t="s">
        <v>16</v>
      </c>
      <c r="D4" s="6" t="s">
        <v>12</v>
      </c>
      <c r="E4" s="6" t="s">
        <v>13</v>
      </c>
      <c r="F4" s="6" t="s">
        <v>14</v>
      </c>
      <c r="G4" s="24">
        <v>0.3125</v>
      </c>
      <c r="H4" s="24">
        <f t="shared" si="2"/>
        <v>0.71527777777777779</v>
      </c>
      <c r="I4" s="8">
        <f t="shared" si="3"/>
        <v>0.40277777777777779</v>
      </c>
      <c r="J4" s="24">
        <v>0.30972222222222223</v>
      </c>
      <c r="K4" s="24">
        <v>0.31527777777777777</v>
      </c>
      <c r="L4" s="24">
        <f t="shared" si="0"/>
        <v>5.5555555555555358E-3</v>
      </c>
      <c r="M4" s="24">
        <f>+K4+N4</f>
        <v>0.33055555555555549</v>
      </c>
      <c r="N4" s="8">
        <f>AVERAGE(N2:N3)</f>
        <v>1.5277777777777751E-2</v>
      </c>
      <c r="O4" s="24">
        <f t="shared" si="1"/>
        <v>2.0833333333333287E-2</v>
      </c>
      <c r="P4" s="22">
        <v>1</v>
      </c>
      <c r="Q4" s="25" t="s">
        <v>51</v>
      </c>
      <c r="R4" s="22" t="str">
        <f>IF(COUNTIF(fest!$A$1:$A$18,B4)&gt;0,"FESTIVO", IF(OR(WEEKDAY(B4,2)=6,WEEKDAY(B4,2)=7),"NO HÁBIL","HÁBIL"))</f>
        <v>HÁBIL</v>
      </c>
    </row>
    <row r="5" spans="1:18" ht="15.75" customHeight="1" x14ac:dyDescent="0.2">
      <c r="A5" s="22" t="s">
        <v>44</v>
      </c>
      <c r="B5" s="23">
        <v>46111</v>
      </c>
      <c r="C5" s="6" t="s">
        <v>11</v>
      </c>
      <c r="D5" s="6" t="s">
        <v>17</v>
      </c>
      <c r="E5" s="6" t="s">
        <v>14</v>
      </c>
      <c r="F5" s="6" t="s">
        <v>13</v>
      </c>
      <c r="G5" s="24">
        <v>0.71527777777777779</v>
      </c>
      <c r="H5" s="24">
        <f t="shared" si="2"/>
        <v>0.73958333333333337</v>
      </c>
      <c r="I5" s="8">
        <f t="shared" si="3"/>
        <v>2.430555555555558E-2</v>
      </c>
      <c r="J5" s="24">
        <v>0.70902777777777781</v>
      </c>
      <c r="K5" s="24">
        <v>0.71666666666666667</v>
      </c>
      <c r="L5" s="24">
        <f t="shared" si="0"/>
        <v>7.6388888888888618E-3</v>
      </c>
      <c r="M5" s="24">
        <v>0.73402777777777772</v>
      </c>
      <c r="N5" s="8">
        <f>+M5-K5</f>
        <v>1.7361111111111049E-2</v>
      </c>
      <c r="O5" s="24">
        <f t="shared" si="1"/>
        <v>2.4999999999999911E-2</v>
      </c>
      <c r="P5" s="22">
        <v>5</v>
      </c>
      <c r="Q5" s="25" t="s">
        <v>48</v>
      </c>
      <c r="R5" s="22" t="str">
        <f>IF(COUNTIF(fest!$A$1:$A$18,B5)&gt;0,"FESTIVO", IF(OR(WEEKDAY(B5,2)=6,WEEKDAY(B5,2)=7),"NO HÁBIL","HÁBIL"))</f>
        <v>HÁBIL</v>
      </c>
    </row>
    <row r="6" spans="1:18" ht="15.75" customHeight="1" x14ac:dyDescent="0.2">
      <c r="A6" s="22" t="s">
        <v>44</v>
      </c>
      <c r="B6" s="23">
        <v>46111</v>
      </c>
      <c r="C6" s="6" t="s">
        <v>15</v>
      </c>
      <c r="D6" s="6" t="s">
        <v>17</v>
      </c>
      <c r="E6" s="6" t="s">
        <v>14</v>
      </c>
      <c r="F6" s="6" t="s">
        <v>13</v>
      </c>
      <c r="G6" s="24">
        <v>0.73958333333333337</v>
      </c>
      <c r="H6" s="24">
        <f t="shared" si="2"/>
        <v>0.76388888888888884</v>
      </c>
      <c r="I6" s="8">
        <f t="shared" si="3"/>
        <v>2.4305555555555469E-2</v>
      </c>
      <c r="J6" s="24">
        <v>0.73402777777777772</v>
      </c>
      <c r="K6" s="24">
        <v>0.74722222222222223</v>
      </c>
      <c r="L6" s="24">
        <f t="shared" si="0"/>
        <v>1.3194444444444509E-2</v>
      </c>
      <c r="M6" s="24">
        <v>0.75694444444444442</v>
      </c>
      <c r="N6" s="8">
        <f>+M6-K6</f>
        <v>9.7222222222221877E-3</v>
      </c>
      <c r="O6" s="24">
        <f t="shared" si="1"/>
        <v>2.2916666666666696E-2</v>
      </c>
      <c r="P6" s="22">
        <v>0</v>
      </c>
      <c r="Q6" s="25" t="s">
        <v>45</v>
      </c>
      <c r="R6" s="22" t="str">
        <f>IF(COUNTIF(fest!$A$1:$A$18,B6)&gt;0,"FESTIVO", IF(OR(WEEKDAY(B6,2)=6,WEEKDAY(B6,2)=7),"NO HÁBIL","HÁBIL"))</f>
        <v>HÁBIL</v>
      </c>
    </row>
    <row r="7" spans="1:18" ht="15.75" customHeight="1" x14ac:dyDescent="0.2">
      <c r="A7" s="22" t="s">
        <v>44</v>
      </c>
      <c r="B7" s="23">
        <v>46111</v>
      </c>
      <c r="C7" s="6" t="s">
        <v>16</v>
      </c>
      <c r="D7" s="6" t="s">
        <v>17</v>
      </c>
      <c r="E7" s="6" t="s">
        <v>14</v>
      </c>
      <c r="F7" s="6" t="s">
        <v>13</v>
      </c>
      <c r="G7" s="24">
        <v>0.76388888888888884</v>
      </c>
      <c r="H7" s="24">
        <f t="shared" si="2"/>
        <v>0.27083333333333331</v>
      </c>
      <c r="I7" s="8">
        <f t="shared" si="3"/>
        <v>-0.49305555555555552</v>
      </c>
      <c r="J7" s="24">
        <v>0.75694444444444442</v>
      </c>
      <c r="K7" s="24">
        <v>0.76597222222222228</v>
      </c>
      <c r="L7" s="24">
        <f t="shared" si="0"/>
        <v>9.0277777777778567E-3</v>
      </c>
      <c r="M7" s="24">
        <f>+K7+N7</f>
        <v>0.77951388888888884</v>
      </c>
      <c r="N7" s="8">
        <f>AVERAGE(N5:N6)</f>
        <v>1.3541666666666619E-2</v>
      </c>
      <c r="O7" s="24">
        <f t="shared" si="1"/>
        <v>2.2569444444444475E-2</v>
      </c>
      <c r="P7" s="22">
        <v>5</v>
      </c>
      <c r="Q7" s="25" t="s">
        <v>48</v>
      </c>
      <c r="R7" s="22" t="str">
        <f>IF(COUNTIF(fest!$A$1:$A$18,B7)&gt;0,"FESTIVO", IF(OR(WEEKDAY(B7,2)=6,WEEKDAY(B7,2)=7),"NO HÁBIL","HÁBIL"))</f>
        <v>HÁBIL</v>
      </c>
    </row>
    <row r="8" spans="1:18" ht="15.75" customHeight="1" x14ac:dyDescent="0.2">
      <c r="A8" s="22" t="s">
        <v>43</v>
      </c>
      <c r="B8" s="23">
        <v>46112</v>
      </c>
      <c r="C8" s="6" t="s">
        <v>11</v>
      </c>
      <c r="D8" s="6" t="s">
        <v>12</v>
      </c>
      <c r="E8" s="6" t="s">
        <v>13</v>
      </c>
      <c r="F8" s="6" t="s">
        <v>14</v>
      </c>
      <c r="G8" s="24">
        <v>0.27083333333333331</v>
      </c>
      <c r="H8" s="24">
        <f t="shared" si="2"/>
        <v>0.29166666666666669</v>
      </c>
      <c r="I8" s="8">
        <f t="shared" si="3"/>
        <v>2.083333333333337E-2</v>
      </c>
      <c r="J8" s="24">
        <v>0.2638888888888889</v>
      </c>
      <c r="K8" s="24">
        <v>0.27430555555555558</v>
      </c>
      <c r="L8" s="24">
        <f t="shared" si="0"/>
        <v>1.0416666666666685E-2</v>
      </c>
      <c r="M8" s="24">
        <v>0.28888888888888886</v>
      </c>
      <c r="N8" s="8">
        <f>+M8-K8</f>
        <v>1.4583333333333282E-2</v>
      </c>
      <c r="O8" s="24">
        <f t="shared" si="1"/>
        <v>2.4999999999999967E-2</v>
      </c>
      <c r="P8" s="22">
        <v>4</v>
      </c>
      <c r="Q8" s="25" t="s">
        <v>51</v>
      </c>
      <c r="R8" s="22" t="str">
        <f>IF(COUNTIF(fest!$A$1:$A$18,B8)&gt;0,"FESTIVO", IF(OR(WEEKDAY(B8,2)=6,WEEKDAY(B8,2)=7),"NO HÁBIL","HÁBIL"))</f>
        <v>HÁBIL</v>
      </c>
    </row>
    <row r="9" spans="1:18" ht="15.75" customHeight="1" x14ac:dyDescent="0.2">
      <c r="A9" s="22" t="s">
        <v>43</v>
      </c>
      <c r="B9" s="23">
        <v>46112</v>
      </c>
      <c r="C9" s="6" t="s">
        <v>15</v>
      </c>
      <c r="D9" s="6" t="s">
        <v>12</v>
      </c>
      <c r="E9" s="6" t="s">
        <v>13</v>
      </c>
      <c r="F9" s="6" t="s">
        <v>14</v>
      </c>
      <c r="G9" s="24">
        <v>0.29166666666666669</v>
      </c>
      <c r="H9" s="24">
        <f t="shared" si="2"/>
        <v>0.3125</v>
      </c>
      <c r="I9" s="8">
        <f t="shared" si="3"/>
        <v>2.0833333333333315E-2</v>
      </c>
      <c r="J9" s="24">
        <v>0.28888888888888886</v>
      </c>
      <c r="K9" s="24">
        <v>0.29375000000000001</v>
      </c>
      <c r="L9" s="24">
        <f t="shared" si="0"/>
        <v>4.8611111111111494E-3</v>
      </c>
      <c r="M9" s="24">
        <v>0.31041666666666667</v>
      </c>
      <c r="N9" s="8">
        <f>+M9-K9</f>
        <v>1.6666666666666663E-2</v>
      </c>
      <c r="O9" s="24">
        <f t="shared" si="1"/>
        <v>2.1527777777777812E-2</v>
      </c>
      <c r="P9" s="22">
        <v>3</v>
      </c>
      <c r="Q9" s="25" t="s">
        <v>51</v>
      </c>
      <c r="R9" s="22" t="str">
        <f>IF(COUNTIF(fest!$A$1:$A$18,B9)&gt;0,"FESTIVO", IF(OR(WEEKDAY(B9,2)=6,WEEKDAY(B9,2)=7),"NO HÁBIL","HÁBIL"))</f>
        <v>HÁBIL</v>
      </c>
    </row>
    <row r="10" spans="1:18" ht="15.75" customHeight="1" x14ac:dyDescent="0.2">
      <c r="A10" s="22" t="s">
        <v>43</v>
      </c>
      <c r="B10" s="23">
        <v>46112</v>
      </c>
      <c r="C10" s="6" t="s">
        <v>16</v>
      </c>
      <c r="D10" s="6" t="s">
        <v>12</v>
      </c>
      <c r="E10" s="6" t="s">
        <v>13</v>
      </c>
      <c r="F10" s="6" t="s">
        <v>14</v>
      </c>
      <c r="G10" s="24">
        <v>0.3125</v>
      </c>
      <c r="H10" s="24">
        <f t="shared" si="2"/>
        <v>0.71527777777777779</v>
      </c>
      <c r="I10" s="8">
        <f t="shared" si="3"/>
        <v>0.40277777777777779</v>
      </c>
      <c r="J10" s="24">
        <v>0.31041666666666667</v>
      </c>
      <c r="K10" s="24">
        <v>0.31666666666666665</v>
      </c>
      <c r="L10" s="24">
        <f t="shared" si="0"/>
        <v>6.2499999999999778E-3</v>
      </c>
      <c r="M10" s="24">
        <f>+K10+N10</f>
        <v>0.33229166666666665</v>
      </c>
      <c r="N10" s="8">
        <f>AVERAGE(N8:N9)</f>
        <v>1.5624999999999972E-2</v>
      </c>
      <c r="O10" s="24">
        <f t="shared" si="1"/>
        <v>2.187499999999995E-2</v>
      </c>
      <c r="P10" s="22">
        <v>1</v>
      </c>
      <c r="Q10" s="25" t="s">
        <v>51</v>
      </c>
      <c r="R10" s="22" t="str">
        <f>IF(COUNTIF(fest!$A$1:$A$18,B10)&gt;0,"FESTIVO", IF(OR(WEEKDAY(B10,2)=6,WEEKDAY(B10,2)=7),"NO HÁBIL","HÁBIL"))</f>
        <v>HÁBIL</v>
      </c>
    </row>
    <row r="11" spans="1:18" ht="15.75" customHeight="1" x14ac:dyDescent="0.2">
      <c r="A11" s="22" t="s">
        <v>44</v>
      </c>
      <c r="B11" s="23">
        <v>46112</v>
      </c>
      <c r="C11" s="6" t="s">
        <v>11</v>
      </c>
      <c r="D11" s="6" t="s">
        <v>17</v>
      </c>
      <c r="E11" s="6" t="s">
        <v>14</v>
      </c>
      <c r="F11" s="6" t="s">
        <v>13</v>
      </c>
      <c r="G11" s="24">
        <v>0.71527777777777779</v>
      </c>
      <c r="H11" s="24">
        <f t="shared" si="2"/>
        <v>0.73958333333333337</v>
      </c>
      <c r="I11" s="8">
        <f t="shared" si="3"/>
        <v>2.430555555555558E-2</v>
      </c>
      <c r="J11" s="24">
        <v>0.70833333333333337</v>
      </c>
      <c r="K11" s="24">
        <v>0.71666666666666667</v>
      </c>
      <c r="L11" s="24">
        <f t="shared" si="0"/>
        <v>8.3333333333333037E-3</v>
      </c>
      <c r="M11" s="24">
        <v>0.73333333333333328</v>
      </c>
      <c r="N11" s="8">
        <f>+M11-K11</f>
        <v>1.6666666666666607E-2</v>
      </c>
      <c r="O11" s="24">
        <f t="shared" si="1"/>
        <v>2.4999999999999911E-2</v>
      </c>
      <c r="P11" s="22">
        <v>1</v>
      </c>
      <c r="Q11" s="25" t="s">
        <v>48</v>
      </c>
      <c r="R11" s="22" t="str">
        <f>IF(COUNTIF(fest!$A$1:$A$18,B11)&gt;0,"FESTIVO", IF(OR(WEEKDAY(B11,2)=6,WEEKDAY(B11,2)=7),"NO HÁBIL","HÁBIL"))</f>
        <v>HÁBIL</v>
      </c>
    </row>
    <row r="12" spans="1:18" ht="15.75" customHeight="1" x14ac:dyDescent="0.2">
      <c r="A12" s="22" t="s">
        <v>44</v>
      </c>
      <c r="B12" s="23">
        <v>46112</v>
      </c>
      <c r="C12" s="6" t="s">
        <v>15</v>
      </c>
      <c r="D12" s="6" t="s">
        <v>17</v>
      </c>
      <c r="E12" s="6" t="s">
        <v>14</v>
      </c>
      <c r="F12" s="6" t="s">
        <v>13</v>
      </c>
      <c r="G12" s="24">
        <v>0.73958333333333337</v>
      </c>
      <c r="H12" s="24">
        <f t="shared" si="2"/>
        <v>0.76388888888888884</v>
      </c>
      <c r="I12" s="8">
        <f t="shared" si="3"/>
        <v>2.4305555555555469E-2</v>
      </c>
      <c r="J12" s="24">
        <v>0.73333333333333328</v>
      </c>
      <c r="K12" s="24">
        <v>0.7416666666666667</v>
      </c>
      <c r="L12" s="24">
        <f t="shared" si="0"/>
        <v>8.3333333333334147E-3</v>
      </c>
      <c r="M12" s="24">
        <v>0.75902777777777775</v>
      </c>
      <c r="N12" s="8">
        <f>+M12-K12</f>
        <v>1.7361111111111049E-2</v>
      </c>
      <c r="O12" s="24">
        <f t="shared" si="1"/>
        <v>2.5694444444444464E-2</v>
      </c>
      <c r="P12" s="22">
        <v>1</v>
      </c>
      <c r="Q12" s="25" t="s">
        <v>48</v>
      </c>
      <c r="R12" s="22" t="str">
        <f>IF(COUNTIF(fest!$A$1:$A$18,B12)&gt;0,"FESTIVO", IF(OR(WEEKDAY(B12,2)=6,WEEKDAY(B12,2)=7),"NO HÁBIL","HÁBIL"))</f>
        <v>HÁBIL</v>
      </c>
    </row>
    <row r="13" spans="1:18" ht="15.75" customHeight="1" x14ac:dyDescent="0.2">
      <c r="A13" s="22" t="s">
        <v>44</v>
      </c>
      <c r="B13" s="23">
        <v>46112</v>
      </c>
      <c r="C13" s="6" t="s">
        <v>16</v>
      </c>
      <c r="D13" s="6" t="s">
        <v>17</v>
      </c>
      <c r="E13" s="6" t="s">
        <v>14</v>
      </c>
      <c r="F13" s="6" t="s">
        <v>13</v>
      </c>
      <c r="G13" s="24">
        <v>0.76388888888888884</v>
      </c>
      <c r="H13" s="24">
        <f t="shared" si="2"/>
        <v>0.27083333333333331</v>
      </c>
      <c r="I13" s="8">
        <f t="shared" si="3"/>
        <v>-0.49305555555555552</v>
      </c>
      <c r="J13" s="24">
        <v>0.75902777777777775</v>
      </c>
      <c r="K13" s="24">
        <v>0.76597222222222228</v>
      </c>
      <c r="L13" s="24">
        <f t="shared" si="0"/>
        <v>6.9444444444445308E-3</v>
      </c>
      <c r="M13" s="24">
        <f>+K13+N13</f>
        <v>0.78298611111111116</v>
      </c>
      <c r="N13" s="8">
        <f>AVERAGE(N11:N12)</f>
        <v>1.7013888888888828E-2</v>
      </c>
      <c r="O13" s="24">
        <f t="shared" si="1"/>
        <v>2.3958333333333359E-2</v>
      </c>
      <c r="P13" s="22">
        <v>1</v>
      </c>
      <c r="Q13" s="25" t="s">
        <v>48</v>
      </c>
      <c r="R13" s="22" t="str">
        <f>IF(COUNTIF(fest!$A$1:$A$18,B13)&gt;0,"FESTIVO", IF(OR(WEEKDAY(B13,2)=6,WEEKDAY(B13,2)=7),"NO HÁBIL","HÁBIL"))</f>
        <v>HÁBIL</v>
      </c>
    </row>
    <row r="14" spans="1:18" ht="15.75" customHeight="1" x14ac:dyDescent="0.2">
      <c r="A14" s="22" t="s">
        <v>43</v>
      </c>
      <c r="B14" s="23">
        <v>46113</v>
      </c>
      <c r="C14" s="6" t="s">
        <v>11</v>
      </c>
      <c r="D14" s="6" t="s">
        <v>12</v>
      </c>
      <c r="E14" s="6" t="s">
        <v>13</v>
      </c>
      <c r="F14" s="6" t="s">
        <v>14</v>
      </c>
      <c r="G14" s="24">
        <v>0.27083333333333331</v>
      </c>
      <c r="H14" s="24">
        <f t="shared" si="2"/>
        <v>0.29166666666666669</v>
      </c>
      <c r="I14" s="8">
        <f t="shared" si="3"/>
        <v>2.083333333333337E-2</v>
      </c>
      <c r="J14" s="24">
        <v>0.2638888888888889</v>
      </c>
      <c r="K14" s="24">
        <v>0.27638888888888891</v>
      </c>
      <c r="L14" s="24">
        <f t="shared" si="0"/>
        <v>1.2500000000000011E-2</v>
      </c>
      <c r="M14" s="24">
        <v>0.28680555555555554</v>
      </c>
      <c r="N14" s="8">
        <f>+M14-K14</f>
        <v>1.041666666666663E-2</v>
      </c>
      <c r="O14" s="24">
        <f t="shared" si="1"/>
        <v>2.2916666666666641E-2</v>
      </c>
      <c r="P14" s="22">
        <v>0</v>
      </c>
      <c r="Q14" s="25" t="s">
        <v>51</v>
      </c>
      <c r="R14" s="22" t="str">
        <f>IF(COUNTIF(fest!$A$1:$A$18,B14)&gt;0,"FESTIVO", IF(OR(WEEKDAY(B14,2)=6,WEEKDAY(B14,2)=7),"NO HÁBIL","HÁBIL"))</f>
        <v>HÁBIL</v>
      </c>
    </row>
    <row r="15" spans="1:18" ht="15.75" customHeight="1" x14ac:dyDescent="0.2">
      <c r="A15" s="22" t="s">
        <v>43</v>
      </c>
      <c r="B15" s="23">
        <v>46113</v>
      </c>
      <c r="C15" s="6" t="s">
        <v>15</v>
      </c>
      <c r="D15" s="6" t="s">
        <v>12</v>
      </c>
      <c r="E15" s="6" t="s">
        <v>13</v>
      </c>
      <c r="F15" s="6" t="s">
        <v>14</v>
      </c>
      <c r="G15" s="24">
        <v>0.29166666666666669</v>
      </c>
      <c r="H15" s="24">
        <f t="shared" si="2"/>
        <v>0.3125</v>
      </c>
      <c r="I15" s="8">
        <f t="shared" si="3"/>
        <v>2.0833333333333315E-2</v>
      </c>
      <c r="J15" s="24">
        <v>0.28680555555555554</v>
      </c>
      <c r="K15" s="24">
        <v>0.29375000000000001</v>
      </c>
      <c r="L15" s="24">
        <f t="shared" si="0"/>
        <v>6.9444444444444753E-3</v>
      </c>
      <c r="M15" s="24">
        <v>0.30972222222222223</v>
      </c>
      <c r="N15" s="8">
        <f>+M15-K15</f>
        <v>1.5972222222222221E-2</v>
      </c>
      <c r="O15" s="24">
        <f t="shared" si="1"/>
        <v>2.2916666666666696E-2</v>
      </c>
      <c r="P15" s="22">
        <v>2</v>
      </c>
      <c r="Q15" s="25" t="s">
        <v>51</v>
      </c>
      <c r="R15" s="22" t="str">
        <f>IF(COUNTIF(fest!$A$1:$A$18,B15)&gt;0,"FESTIVO", IF(OR(WEEKDAY(B15,2)=6,WEEKDAY(B15,2)=7),"NO HÁBIL","HÁBIL"))</f>
        <v>HÁBIL</v>
      </c>
    </row>
    <row r="16" spans="1:18" ht="15.75" customHeight="1" x14ac:dyDescent="0.2">
      <c r="A16" s="22" t="s">
        <v>43</v>
      </c>
      <c r="B16" s="23">
        <v>46113</v>
      </c>
      <c r="C16" s="6" t="s">
        <v>16</v>
      </c>
      <c r="D16" s="6" t="s">
        <v>12</v>
      </c>
      <c r="E16" s="6" t="s">
        <v>13</v>
      </c>
      <c r="F16" s="6" t="s">
        <v>14</v>
      </c>
      <c r="G16" s="24">
        <v>0.3125</v>
      </c>
      <c r="H16" s="24">
        <f t="shared" si="2"/>
        <v>0.71527777777777779</v>
      </c>
      <c r="I16" s="8">
        <f t="shared" si="3"/>
        <v>0.40277777777777779</v>
      </c>
      <c r="J16" s="24">
        <v>0.30972222222222223</v>
      </c>
      <c r="K16" s="24">
        <v>0.32013888888888886</v>
      </c>
      <c r="L16" s="24">
        <f t="shared" si="0"/>
        <v>1.041666666666663E-2</v>
      </c>
      <c r="M16" s="24">
        <f>+K16+N16</f>
        <v>0.33333333333333326</v>
      </c>
      <c r="N16" s="8">
        <f>AVERAGE(N14:N15)</f>
        <v>1.3194444444444425E-2</v>
      </c>
      <c r="O16" s="24">
        <f t="shared" si="1"/>
        <v>2.3611111111111055E-2</v>
      </c>
      <c r="P16" s="22">
        <v>0</v>
      </c>
      <c r="Q16" s="25" t="s">
        <v>51</v>
      </c>
      <c r="R16" s="22" t="str">
        <f>IF(COUNTIF(fest!$A$1:$A$18,B16)&gt;0,"FESTIVO", IF(OR(WEEKDAY(B16,2)=6,WEEKDAY(B16,2)=7),"NO HÁBIL","HÁBIL"))</f>
        <v>HÁBIL</v>
      </c>
    </row>
    <row r="17" spans="1:18" ht="15.75" customHeight="1" x14ac:dyDescent="0.2">
      <c r="A17" s="22" t="s">
        <v>44</v>
      </c>
      <c r="B17" s="23">
        <v>46113</v>
      </c>
      <c r="C17" s="6" t="s">
        <v>11</v>
      </c>
      <c r="D17" s="6" t="s">
        <v>17</v>
      </c>
      <c r="E17" s="6" t="s">
        <v>14</v>
      </c>
      <c r="F17" s="6" t="s">
        <v>13</v>
      </c>
      <c r="G17" s="24">
        <v>0.71527777777777779</v>
      </c>
      <c r="H17" s="24">
        <f t="shared" si="2"/>
        <v>0.73958333333333337</v>
      </c>
      <c r="I17" s="8">
        <f t="shared" si="3"/>
        <v>2.430555555555558E-2</v>
      </c>
      <c r="J17" s="24">
        <v>0.71111111111111114</v>
      </c>
      <c r="K17" s="24">
        <v>0.71736111111111112</v>
      </c>
      <c r="L17" s="24">
        <f t="shared" si="0"/>
        <v>6.2499999999999778E-3</v>
      </c>
      <c r="M17" s="24">
        <v>0.73541666666666672</v>
      </c>
      <c r="N17" s="8">
        <f>+M17-K17</f>
        <v>1.8055555555555602E-2</v>
      </c>
      <c r="O17" s="24">
        <f t="shared" si="1"/>
        <v>2.430555555555558E-2</v>
      </c>
      <c r="P17" s="22">
        <v>4</v>
      </c>
      <c r="Q17" s="25" t="s">
        <v>48</v>
      </c>
      <c r="R17" s="22" t="str">
        <f>IF(COUNTIF(fest!$A$1:$A$18,B17)&gt;0,"FESTIVO", IF(OR(WEEKDAY(B17,2)=6,WEEKDAY(B17,2)=7),"NO HÁBIL","HÁBIL"))</f>
        <v>HÁBIL</v>
      </c>
    </row>
    <row r="18" spans="1:18" ht="15.75" customHeight="1" x14ac:dyDescent="0.2">
      <c r="A18" s="22" t="s">
        <v>44</v>
      </c>
      <c r="B18" s="23">
        <v>46113</v>
      </c>
      <c r="C18" s="6" t="s">
        <v>15</v>
      </c>
      <c r="D18" s="6" t="s">
        <v>17</v>
      </c>
      <c r="E18" s="6" t="s">
        <v>14</v>
      </c>
      <c r="F18" s="6" t="s">
        <v>13</v>
      </c>
      <c r="G18" s="24">
        <v>0.73958333333333337</v>
      </c>
      <c r="H18" s="24">
        <f t="shared" si="2"/>
        <v>0.76388888888888884</v>
      </c>
      <c r="I18" s="8">
        <f t="shared" si="3"/>
        <v>2.4305555555555469E-2</v>
      </c>
      <c r="J18" s="24">
        <v>0.73541666666666672</v>
      </c>
      <c r="K18" s="24">
        <v>0.74444444444444446</v>
      </c>
      <c r="L18" s="24">
        <f t="shared" si="0"/>
        <v>9.0277777777777457E-3</v>
      </c>
      <c r="M18" s="24">
        <v>0.75972222222222219</v>
      </c>
      <c r="N18" s="8">
        <f>+M18-K18</f>
        <v>1.5277777777777724E-2</v>
      </c>
      <c r="O18" s="24">
        <f t="shared" si="1"/>
        <v>2.4305555555555469E-2</v>
      </c>
      <c r="P18" s="22">
        <v>0</v>
      </c>
      <c r="Q18" s="25" t="s">
        <v>45</v>
      </c>
      <c r="R18" s="22" t="str">
        <f>IF(COUNTIF(fest!$A$1:$A$18,B18)&gt;0,"FESTIVO", IF(OR(WEEKDAY(B18,2)=6,WEEKDAY(B18,2)=7),"NO HÁBIL","HÁBIL"))</f>
        <v>HÁBIL</v>
      </c>
    </row>
    <row r="19" spans="1:18" ht="15.75" customHeight="1" x14ac:dyDescent="0.2">
      <c r="A19" s="22" t="s">
        <v>44</v>
      </c>
      <c r="B19" s="23">
        <v>46113</v>
      </c>
      <c r="C19" s="6" t="s">
        <v>16</v>
      </c>
      <c r="D19" s="6" t="s">
        <v>17</v>
      </c>
      <c r="E19" s="6" t="s">
        <v>14</v>
      </c>
      <c r="F19" s="6" t="s">
        <v>13</v>
      </c>
      <c r="G19" s="24">
        <v>0.76388888888888884</v>
      </c>
      <c r="H19" s="24">
        <f t="shared" si="2"/>
        <v>0.27083333333333331</v>
      </c>
      <c r="I19" s="8">
        <f t="shared" si="3"/>
        <v>-0.49305555555555552</v>
      </c>
      <c r="J19" s="24">
        <v>0.75972222222222219</v>
      </c>
      <c r="K19" s="24">
        <v>0.76597222222222228</v>
      </c>
      <c r="L19" s="24">
        <f t="shared" si="0"/>
        <v>6.2500000000000888E-3</v>
      </c>
      <c r="M19" s="24">
        <f>+K19+N19</f>
        <v>0.78263888888888888</v>
      </c>
      <c r="N19" s="8">
        <f>AVERAGE(N17:N18)</f>
        <v>1.6666666666666663E-2</v>
      </c>
      <c r="O19" s="24">
        <f t="shared" si="1"/>
        <v>2.2916666666666752E-2</v>
      </c>
      <c r="P19" s="22">
        <v>0</v>
      </c>
      <c r="Q19" s="25" t="s">
        <v>45</v>
      </c>
      <c r="R19" s="22" t="str">
        <f>IF(COUNTIF(fest!$A$1:$A$18,B19)&gt;0,"FESTIVO", IF(OR(WEEKDAY(B19,2)=6,WEEKDAY(B19,2)=7),"NO HÁBIL","HÁBIL"))</f>
        <v>HÁBIL</v>
      </c>
    </row>
    <row r="20" spans="1:18" ht="15.75" customHeight="1" x14ac:dyDescent="0.2">
      <c r="A20" s="22" t="s">
        <v>43</v>
      </c>
      <c r="B20" s="23">
        <v>46118</v>
      </c>
      <c r="C20" s="6" t="s">
        <v>11</v>
      </c>
      <c r="D20" s="6" t="s">
        <v>12</v>
      </c>
      <c r="E20" s="6" t="s">
        <v>13</v>
      </c>
      <c r="F20" s="6" t="s">
        <v>14</v>
      </c>
      <c r="G20" s="24">
        <v>0.27083333333333331</v>
      </c>
      <c r="H20" s="24">
        <f t="shared" si="2"/>
        <v>0.29166666666666669</v>
      </c>
      <c r="I20" s="8">
        <f t="shared" si="3"/>
        <v>2.083333333333337E-2</v>
      </c>
      <c r="J20" s="24">
        <v>0.2638888888888889</v>
      </c>
      <c r="K20" s="24">
        <v>0.27361111111111114</v>
      </c>
      <c r="L20" s="24">
        <f t="shared" si="0"/>
        <v>9.7222222222222432E-3</v>
      </c>
      <c r="M20" s="24">
        <v>0.28888888888888886</v>
      </c>
      <c r="N20" s="8">
        <f>+M20-K20</f>
        <v>1.5277777777777724E-2</v>
      </c>
      <c r="O20" s="24">
        <f t="shared" si="1"/>
        <v>2.4999999999999967E-2</v>
      </c>
      <c r="P20" s="22">
        <v>5</v>
      </c>
      <c r="Q20" s="25" t="s">
        <v>51</v>
      </c>
      <c r="R20" s="22" t="str">
        <f>IF(COUNTIF(fest!$A$1:$A$18,B20)&gt;0,"FESTIVO", IF(OR(WEEKDAY(B20,2)=6,WEEKDAY(B20,2)=7),"NO HÁBIL","HÁBIL"))</f>
        <v>HÁBIL</v>
      </c>
    </row>
    <row r="21" spans="1:18" ht="15.75" customHeight="1" x14ac:dyDescent="0.2">
      <c r="A21" s="22" t="s">
        <v>43</v>
      </c>
      <c r="B21" s="23">
        <v>46118</v>
      </c>
      <c r="C21" s="6" t="s">
        <v>15</v>
      </c>
      <c r="D21" s="6" t="s">
        <v>12</v>
      </c>
      <c r="E21" s="6" t="s">
        <v>13</v>
      </c>
      <c r="F21" s="6" t="s">
        <v>14</v>
      </c>
      <c r="G21" s="24">
        <v>0.29166666666666669</v>
      </c>
      <c r="H21" s="24">
        <f t="shared" si="2"/>
        <v>0.3125</v>
      </c>
      <c r="I21" s="8">
        <f t="shared" si="3"/>
        <v>2.0833333333333315E-2</v>
      </c>
      <c r="J21" s="24">
        <v>0.28888888888888886</v>
      </c>
      <c r="K21" s="24">
        <v>0.29444444444444445</v>
      </c>
      <c r="L21" s="24">
        <f t="shared" si="0"/>
        <v>5.5555555555555913E-3</v>
      </c>
      <c r="M21" s="24">
        <v>0.31666666666666665</v>
      </c>
      <c r="N21" s="8">
        <f>+M21-K21</f>
        <v>2.2222222222222199E-2</v>
      </c>
      <c r="O21" s="24">
        <f t="shared" si="1"/>
        <v>2.777777777777779E-2</v>
      </c>
      <c r="P21" s="22">
        <v>2</v>
      </c>
      <c r="Q21" s="25" t="s">
        <v>51</v>
      </c>
      <c r="R21" s="22" t="str">
        <f>IF(COUNTIF(fest!$A$1:$A$18,B21)&gt;0,"FESTIVO", IF(OR(WEEKDAY(B21,2)=6,WEEKDAY(B21,2)=7),"NO HÁBIL","HÁBIL"))</f>
        <v>HÁBIL</v>
      </c>
    </row>
    <row r="22" spans="1:18" ht="15.75" customHeight="1" x14ac:dyDescent="0.2">
      <c r="A22" s="22" t="s">
        <v>43</v>
      </c>
      <c r="B22" s="23">
        <v>46118</v>
      </c>
      <c r="C22" s="6" t="s">
        <v>16</v>
      </c>
      <c r="D22" s="6" t="s">
        <v>12</v>
      </c>
      <c r="E22" s="6" t="s">
        <v>13</v>
      </c>
      <c r="F22" s="6" t="s">
        <v>14</v>
      </c>
      <c r="G22" s="24">
        <v>0.3125</v>
      </c>
      <c r="H22" s="24">
        <f t="shared" si="2"/>
        <v>0.71527777777777779</v>
      </c>
      <c r="I22" s="8">
        <f t="shared" si="3"/>
        <v>0.40277777777777779</v>
      </c>
      <c r="J22" s="24">
        <v>0.31666666666666665</v>
      </c>
      <c r="K22" s="24">
        <v>0.32500000000000001</v>
      </c>
      <c r="L22" s="24">
        <f t="shared" si="0"/>
        <v>8.3333333333333592E-3</v>
      </c>
      <c r="M22" s="24">
        <f>+K22+N22</f>
        <v>0.34375</v>
      </c>
      <c r="N22" s="8">
        <f>AVERAGE(N20:N21)</f>
        <v>1.8749999999999961E-2</v>
      </c>
      <c r="O22" s="24">
        <f t="shared" si="1"/>
        <v>2.708333333333332E-2</v>
      </c>
      <c r="P22" s="22">
        <v>1</v>
      </c>
      <c r="Q22" s="25" t="s">
        <v>51</v>
      </c>
      <c r="R22" s="22" t="str">
        <f>IF(COUNTIF(fest!$A$1:$A$18,B22)&gt;0,"FESTIVO", IF(OR(WEEKDAY(B22,2)=6,WEEKDAY(B22,2)=7),"NO HÁBIL","HÁBIL"))</f>
        <v>HÁBIL</v>
      </c>
    </row>
    <row r="23" spans="1:18" ht="15.75" customHeight="1" x14ac:dyDescent="0.2">
      <c r="A23" s="22" t="s">
        <v>44</v>
      </c>
      <c r="B23" s="23">
        <v>46118</v>
      </c>
      <c r="C23" s="6" t="s">
        <v>11</v>
      </c>
      <c r="D23" s="6" t="s">
        <v>17</v>
      </c>
      <c r="E23" s="6" t="s">
        <v>14</v>
      </c>
      <c r="F23" s="6" t="s">
        <v>13</v>
      </c>
      <c r="G23" s="24">
        <v>0.71527777777777779</v>
      </c>
      <c r="H23" s="24">
        <f t="shared" si="2"/>
        <v>0.73958333333333337</v>
      </c>
      <c r="I23" s="8">
        <f t="shared" si="3"/>
        <v>2.430555555555558E-2</v>
      </c>
      <c r="J23" s="24">
        <v>0.70833333333333337</v>
      </c>
      <c r="K23" s="24">
        <v>0.71666666666666667</v>
      </c>
      <c r="L23" s="24">
        <f t="shared" si="0"/>
        <v>8.3333333333333037E-3</v>
      </c>
      <c r="M23" s="24">
        <v>0.73541666666666672</v>
      </c>
      <c r="N23" s="8">
        <f>+M23-K23</f>
        <v>1.8750000000000044E-2</v>
      </c>
      <c r="O23" s="24">
        <f t="shared" si="1"/>
        <v>2.7083333333333348E-2</v>
      </c>
      <c r="P23" s="22">
        <v>9</v>
      </c>
      <c r="Q23" s="25" t="s">
        <v>48</v>
      </c>
      <c r="R23" s="22" t="str">
        <f>IF(COUNTIF(fest!$A$1:$A$18,B23)&gt;0,"FESTIVO", IF(OR(WEEKDAY(B23,2)=6,WEEKDAY(B23,2)=7),"NO HÁBIL","HÁBIL"))</f>
        <v>HÁBIL</v>
      </c>
    </row>
    <row r="24" spans="1:18" ht="15.75" customHeight="1" x14ac:dyDescent="0.2">
      <c r="A24" s="22" t="s">
        <v>44</v>
      </c>
      <c r="B24" s="23">
        <v>46118</v>
      </c>
      <c r="C24" s="6" t="s">
        <v>15</v>
      </c>
      <c r="D24" s="6" t="s">
        <v>17</v>
      </c>
      <c r="E24" s="6" t="s">
        <v>14</v>
      </c>
      <c r="F24" s="6" t="s">
        <v>13</v>
      </c>
      <c r="G24" s="24">
        <v>0.73958333333333337</v>
      </c>
      <c r="H24" s="24">
        <f t="shared" si="2"/>
        <v>0.76388888888888884</v>
      </c>
      <c r="I24" s="8">
        <f t="shared" si="3"/>
        <v>2.4305555555555469E-2</v>
      </c>
      <c r="J24" s="24">
        <v>0.73541666666666672</v>
      </c>
      <c r="K24" s="24">
        <v>0.74236111111111114</v>
      </c>
      <c r="L24" s="24">
        <f t="shared" si="0"/>
        <v>6.9444444444444198E-3</v>
      </c>
      <c r="M24" s="24">
        <v>0.76180555555555551</v>
      </c>
      <c r="N24" s="8">
        <f>+M24-K24</f>
        <v>1.9444444444444375E-2</v>
      </c>
      <c r="O24" s="24">
        <f t="shared" si="1"/>
        <v>2.6388888888888795E-2</v>
      </c>
      <c r="P24" s="22">
        <v>2</v>
      </c>
      <c r="Q24" s="25" t="s">
        <v>48</v>
      </c>
      <c r="R24" s="22" t="str">
        <f>IF(COUNTIF(fest!$A$1:$A$18,B24)&gt;0,"FESTIVO", IF(OR(WEEKDAY(B24,2)=6,WEEKDAY(B24,2)=7),"NO HÁBIL","HÁBIL"))</f>
        <v>HÁBIL</v>
      </c>
    </row>
    <row r="25" spans="1:18" ht="15.75" customHeight="1" x14ac:dyDescent="0.2">
      <c r="A25" s="22" t="s">
        <v>44</v>
      </c>
      <c r="B25" s="23">
        <v>46118</v>
      </c>
      <c r="C25" s="6" t="s">
        <v>16</v>
      </c>
      <c r="D25" s="6" t="s">
        <v>17</v>
      </c>
      <c r="E25" s="6" t="s">
        <v>14</v>
      </c>
      <c r="F25" s="6" t="s">
        <v>13</v>
      </c>
      <c r="G25" s="24">
        <v>0.76388888888888884</v>
      </c>
      <c r="H25" s="24">
        <f t="shared" si="2"/>
        <v>0.27083333333333331</v>
      </c>
      <c r="I25" s="8">
        <f t="shared" si="3"/>
        <v>-0.49305555555555552</v>
      </c>
      <c r="J25" s="24">
        <v>0.76180555555555551</v>
      </c>
      <c r="K25" s="24">
        <v>0.76666666666666672</v>
      </c>
      <c r="L25" s="24">
        <f t="shared" si="0"/>
        <v>4.8611111111112049E-3</v>
      </c>
      <c r="M25" s="24">
        <f>+K25+N25</f>
        <v>0.78576388888888893</v>
      </c>
      <c r="N25" s="8">
        <f>AVERAGE(N23:N24)</f>
        <v>1.909722222222221E-2</v>
      </c>
      <c r="O25" s="24">
        <f t="shared" si="1"/>
        <v>2.3958333333333415E-2</v>
      </c>
      <c r="P25" s="22">
        <v>4</v>
      </c>
      <c r="Q25" s="25" t="s">
        <v>48</v>
      </c>
      <c r="R25" s="22" t="str">
        <f>IF(COUNTIF(fest!$A$1:$A$18,B25)&gt;0,"FESTIVO", IF(OR(WEEKDAY(B25,2)=6,WEEKDAY(B25,2)=7),"NO HÁBIL","HÁBIL"))</f>
        <v>HÁBIL</v>
      </c>
    </row>
    <row r="26" spans="1:18" ht="15.75" customHeight="1" x14ac:dyDescent="0.2">
      <c r="A26" s="22" t="s">
        <v>43</v>
      </c>
      <c r="B26" s="23">
        <v>46119</v>
      </c>
      <c r="C26" s="6" t="s">
        <v>11</v>
      </c>
      <c r="D26" s="6" t="s">
        <v>12</v>
      </c>
      <c r="E26" s="6" t="s">
        <v>13</v>
      </c>
      <c r="F26" s="6" t="s">
        <v>14</v>
      </c>
      <c r="G26" s="24">
        <v>0.27083333333333331</v>
      </c>
      <c r="H26" s="24">
        <f t="shared" si="2"/>
        <v>0.29166666666666669</v>
      </c>
      <c r="I26" s="8">
        <f t="shared" si="3"/>
        <v>2.083333333333337E-2</v>
      </c>
      <c r="J26" s="24">
        <v>0.2638888888888889</v>
      </c>
      <c r="K26" s="24">
        <v>0.27291666666666664</v>
      </c>
      <c r="L26" s="24">
        <f t="shared" si="0"/>
        <v>9.0277777777777457E-3</v>
      </c>
      <c r="M26" s="24">
        <v>0.28819444444444442</v>
      </c>
      <c r="N26" s="8">
        <f>+M26-K26</f>
        <v>1.5277777777777779E-2</v>
      </c>
      <c r="O26" s="24">
        <f t="shared" si="1"/>
        <v>2.4305555555555525E-2</v>
      </c>
      <c r="P26" s="22">
        <v>1</v>
      </c>
      <c r="Q26" s="25" t="s">
        <v>51</v>
      </c>
      <c r="R26" s="22" t="str">
        <f>IF(COUNTIF(fest!$A$1:$A$18,B26)&gt;0,"FESTIVO", IF(OR(WEEKDAY(B26,2)=6,WEEKDAY(B26,2)=7),"NO HÁBIL","HÁBIL"))</f>
        <v>HÁBIL</v>
      </c>
    </row>
    <row r="27" spans="1:18" ht="15.75" customHeight="1" x14ac:dyDescent="0.2">
      <c r="A27" s="22" t="s">
        <v>43</v>
      </c>
      <c r="B27" s="23">
        <v>46119</v>
      </c>
      <c r="C27" s="6" t="s">
        <v>15</v>
      </c>
      <c r="D27" s="6" t="s">
        <v>12</v>
      </c>
      <c r="E27" s="6" t="s">
        <v>13</v>
      </c>
      <c r="F27" s="6" t="s">
        <v>14</v>
      </c>
      <c r="G27" s="24">
        <v>0.29166666666666669</v>
      </c>
      <c r="H27" s="24">
        <f t="shared" si="2"/>
        <v>0.3125</v>
      </c>
      <c r="I27" s="8">
        <f t="shared" si="3"/>
        <v>2.0833333333333315E-2</v>
      </c>
      <c r="J27" s="24">
        <v>0.28819444444444442</v>
      </c>
      <c r="K27" s="24">
        <v>0.29375000000000001</v>
      </c>
      <c r="L27" s="24">
        <f t="shared" si="0"/>
        <v>5.5555555555555913E-3</v>
      </c>
      <c r="M27" s="24">
        <v>0.30972222222222223</v>
      </c>
      <c r="N27" s="8">
        <f>+M27-K27</f>
        <v>1.5972222222222221E-2</v>
      </c>
      <c r="O27" s="24">
        <f t="shared" si="1"/>
        <v>2.1527777777777812E-2</v>
      </c>
      <c r="P27" s="22">
        <v>6</v>
      </c>
      <c r="Q27" s="25" t="s">
        <v>51</v>
      </c>
      <c r="R27" s="22" t="str">
        <f>IF(COUNTIF(fest!$A$1:$A$18,B27)&gt;0,"FESTIVO", IF(OR(WEEKDAY(B27,2)=6,WEEKDAY(B27,2)=7),"NO HÁBIL","HÁBIL"))</f>
        <v>HÁBIL</v>
      </c>
    </row>
    <row r="28" spans="1:18" ht="15.75" customHeight="1" x14ac:dyDescent="0.2">
      <c r="A28" s="22" t="s">
        <v>43</v>
      </c>
      <c r="B28" s="23">
        <v>46119</v>
      </c>
      <c r="C28" s="6" t="s">
        <v>16</v>
      </c>
      <c r="D28" s="6" t="s">
        <v>12</v>
      </c>
      <c r="E28" s="6" t="s">
        <v>13</v>
      </c>
      <c r="F28" s="6" t="s">
        <v>14</v>
      </c>
      <c r="G28" s="24">
        <v>0.3125</v>
      </c>
      <c r="H28" s="24">
        <f t="shared" si="2"/>
        <v>0.70902777777777781</v>
      </c>
      <c r="I28" s="8">
        <f t="shared" si="3"/>
        <v>0.39652777777777781</v>
      </c>
      <c r="J28" s="24">
        <v>0.30972222222222223</v>
      </c>
      <c r="K28" s="24">
        <v>0.31458333333333333</v>
      </c>
      <c r="L28" s="24">
        <f t="shared" si="0"/>
        <v>4.8611111111110938E-3</v>
      </c>
      <c r="M28" s="24">
        <f>+K28+N28</f>
        <v>0.33020833333333333</v>
      </c>
      <c r="N28" s="8">
        <f>AVERAGE(N26:N27)</f>
        <v>1.5625E-2</v>
      </c>
      <c r="O28" s="24">
        <f t="shared" si="1"/>
        <v>2.0486111111111094E-2</v>
      </c>
      <c r="P28" s="22">
        <v>1</v>
      </c>
      <c r="Q28" s="25" t="s">
        <v>51</v>
      </c>
      <c r="R28" s="22" t="str">
        <f>IF(COUNTIF(fest!$A$1:$A$18,B28)&gt;0,"FESTIVO", IF(OR(WEEKDAY(B28,2)=6,WEEKDAY(B28,2)=7),"NO HÁBIL","HÁBIL"))</f>
        <v>HÁBIL</v>
      </c>
    </row>
    <row r="29" spans="1:18" ht="15.75" customHeight="1" x14ac:dyDescent="0.2">
      <c r="A29" s="22" t="s">
        <v>44</v>
      </c>
      <c r="B29" s="23">
        <v>46119</v>
      </c>
      <c r="C29" s="6" t="s">
        <v>11</v>
      </c>
      <c r="D29" s="6" t="s">
        <v>17</v>
      </c>
      <c r="E29" s="6" t="s">
        <v>14</v>
      </c>
      <c r="F29" s="6" t="s">
        <v>13</v>
      </c>
      <c r="G29" s="24">
        <v>0.70902777777777781</v>
      </c>
      <c r="H29" s="24">
        <f t="shared" si="2"/>
        <v>0.73958333333333337</v>
      </c>
      <c r="I29" s="8">
        <f t="shared" si="3"/>
        <v>3.0555555555555558E-2</v>
      </c>
      <c r="J29" s="24">
        <v>0.70902777777777781</v>
      </c>
      <c r="K29" s="24">
        <v>0.71666666666666667</v>
      </c>
      <c r="L29" s="24">
        <f t="shared" si="0"/>
        <v>7.6388888888888618E-3</v>
      </c>
      <c r="M29" s="24">
        <v>0.75694444444444442</v>
      </c>
      <c r="N29" s="8">
        <f>+M29-K29</f>
        <v>4.0277777777777746E-2</v>
      </c>
      <c r="O29" s="24">
        <f t="shared" si="1"/>
        <v>4.7916666666666607E-2</v>
      </c>
      <c r="P29" s="22">
        <v>7</v>
      </c>
      <c r="Q29" s="25" t="s">
        <v>47</v>
      </c>
      <c r="R29" s="22" t="str">
        <f>IF(COUNTIF(fest!$A$1:$A$18,B29)&gt;0,"FESTIVO", IF(OR(WEEKDAY(B29,2)=6,WEEKDAY(B29,2)=7),"NO HÁBIL","HÁBIL"))</f>
        <v>HÁBIL</v>
      </c>
    </row>
    <row r="30" spans="1:18" ht="15.75" customHeight="1" x14ac:dyDescent="0.2">
      <c r="A30" s="22" t="s">
        <v>44</v>
      </c>
      <c r="B30" s="23">
        <v>46119</v>
      </c>
      <c r="C30" s="6" t="s">
        <v>15</v>
      </c>
      <c r="D30" s="6" t="s">
        <v>17</v>
      </c>
      <c r="E30" s="6" t="s">
        <v>14</v>
      </c>
      <c r="F30" s="6" t="s">
        <v>13</v>
      </c>
      <c r="G30" s="24">
        <v>0.73958333333333337</v>
      </c>
      <c r="H30" s="24">
        <f t="shared" si="2"/>
        <v>0.76388888888888884</v>
      </c>
      <c r="I30" s="8">
        <f t="shared" si="3"/>
        <v>2.4305555555555469E-2</v>
      </c>
      <c r="J30" s="24">
        <v>0</v>
      </c>
      <c r="K30" s="24">
        <v>0</v>
      </c>
      <c r="L30" s="24">
        <f t="shared" si="0"/>
        <v>0</v>
      </c>
      <c r="M30" s="24">
        <v>0</v>
      </c>
      <c r="N30" s="8">
        <f>+M30-K30</f>
        <v>0</v>
      </c>
      <c r="O30" s="24">
        <f t="shared" si="1"/>
        <v>0</v>
      </c>
      <c r="P30" s="22">
        <v>0</v>
      </c>
      <c r="Q30" s="25" t="s">
        <v>46</v>
      </c>
      <c r="R30" s="22" t="str">
        <f>IF(COUNTIF(fest!$A$1:$A$18,B30)&gt;0,"FESTIVO", IF(OR(WEEKDAY(B30,2)=6,WEEKDAY(B30,2)=7),"NO HÁBIL","HÁBIL"))</f>
        <v>HÁBIL</v>
      </c>
    </row>
    <row r="31" spans="1:18" ht="15.75" customHeight="1" x14ac:dyDescent="0.2">
      <c r="A31" s="22" t="s">
        <v>44</v>
      </c>
      <c r="B31" s="23">
        <v>46119</v>
      </c>
      <c r="C31" s="6" t="s">
        <v>16</v>
      </c>
      <c r="D31" s="6" t="s">
        <v>17</v>
      </c>
      <c r="E31" s="6" t="s">
        <v>14</v>
      </c>
      <c r="F31" s="6" t="s">
        <v>13</v>
      </c>
      <c r="G31" s="24">
        <v>0.76388888888888884</v>
      </c>
      <c r="H31" s="24">
        <f t="shared" si="2"/>
        <v>0.27083333333333331</v>
      </c>
      <c r="I31" s="8">
        <f t="shared" si="3"/>
        <v>-0.49305555555555552</v>
      </c>
      <c r="J31" s="24">
        <v>0.75694444444444442</v>
      </c>
      <c r="K31" s="24">
        <v>0.76666666666666672</v>
      </c>
      <c r="L31" s="24">
        <f t="shared" si="0"/>
        <v>9.7222222222222987E-3</v>
      </c>
      <c r="M31" s="24">
        <f>+K31+N31</f>
        <v>0.78680555555555554</v>
      </c>
      <c r="N31" s="8">
        <f>AVERAGE(N29:N30)</f>
        <v>2.0138888888888873E-2</v>
      </c>
      <c r="O31" s="24">
        <f t="shared" si="1"/>
        <v>2.9861111111111172E-2</v>
      </c>
      <c r="P31" s="22">
        <v>6</v>
      </c>
      <c r="Q31" s="25" t="s">
        <v>47</v>
      </c>
      <c r="R31" s="22" t="str">
        <f>IF(COUNTIF(fest!$A$1:$A$18,B31)&gt;0,"FESTIVO", IF(OR(WEEKDAY(B31,2)=6,WEEKDAY(B31,2)=7),"NO HÁBIL","HÁBIL"))</f>
        <v>HÁBIL</v>
      </c>
    </row>
    <row r="32" spans="1:18" ht="15.75" customHeight="1" x14ac:dyDescent="0.2">
      <c r="A32" s="22" t="s">
        <v>43</v>
      </c>
      <c r="B32" s="23">
        <v>46120</v>
      </c>
      <c r="C32" s="6" t="s">
        <v>11</v>
      </c>
      <c r="D32" s="6" t="s">
        <v>12</v>
      </c>
      <c r="E32" s="6" t="s">
        <v>13</v>
      </c>
      <c r="F32" s="6" t="s">
        <v>14</v>
      </c>
      <c r="G32" s="24">
        <v>0.27083333333333331</v>
      </c>
      <c r="H32" s="24">
        <f t="shared" si="2"/>
        <v>0.29166666666666669</v>
      </c>
      <c r="I32" s="8">
        <f t="shared" si="3"/>
        <v>2.083333333333337E-2</v>
      </c>
      <c r="J32" s="24">
        <v>0.2638888888888889</v>
      </c>
      <c r="K32" s="24">
        <v>0.27569444444444446</v>
      </c>
      <c r="L32" s="24">
        <f t="shared" si="0"/>
        <v>1.1805555555555569E-2</v>
      </c>
      <c r="M32" s="24">
        <v>0.28958333333333336</v>
      </c>
      <c r="N32" s="8">
        <f>+M32-K32</f>
        <v>1.3888888888888895E-2</v>
      </c>
      <c r="O32" s="24">
        <f t="shared" si="1"/>
        <v>2.5694444444444464E-2</v>
      </c>
      <c r="P32" s="22">
        <v>0</v>
      </c>
      <c r="Q32" s="25" t="s">
        <v>51</v>
      </c>
      <c r="R32" s="22" t="str">
        <f>IF(COUNTIF(fest!$A$1:$A$18,B32)&gt;0,"FESTIVO", IF(OR(WEEKDAY(B32,2)=6,WEEKDAY(B32,2)=7),"NO HÁBIL","HÁBIL"))</f>
        <v>HÁBIL</v>
      </c>
    </row>
    <row r="33" spans="1:18" ht="15.75" customHeight="1" x14ac:dyDescent="0.2">
      <c r="A33" s="22" t="s">
        <v>43</v>
      </c>
      <c r="B33" s="23">
        <v>46120</v>
      </c>
      <c r="C33" s="6" t="s">
        <v>15</v>
      </c>
      <c r="D33" s="6" t="s">
        <v>12</v>
      </c>
      <c r="E33" s="6" t="s">
        <v>13</v>
      </c>
      <c r="F33" s="6" t="s">
        <v>14</v>
      </c>
      <c r="G33" s="24">
        <v>0.29166666666666669</v>
      </c>
      <c r="H33" s="24">
        <f t="shared" si="2"/>
        <v>0.3125</v>
      </c>
      <c r="I33" s="8">
        <f t="shared" si="3"/>
        <v>2.0833333333333315E-2</v>
      </c>
      <c r="J33" s="24">
        <v>0.28958333333333336</v>
      </c>
      <c r="K33" s="24">
        <v>0.29375000000000001</v>
      </c>
      <c r="L33" s="24">
        <f t="shared" si="0"/>
        <v>4.1666666666666519E-3</v>
      </c>
      <c r="M33" s="24">
        <v>0.31041666666666667</v>
      </c>
      <c r="N33" s="8">
        <f>+M33-K33</f>
        <v>1.6666666666666663E-2</v>
      </c>
      <c r="O33" s="24">
        <f t="shared" si="1"/>
        <v>2.0833333333333315E-2</v>
      </c>
      <c r="P33" s="22">
        <v>3</v>
      </c>
      <c r="Q33" s="25" t="s">
        <v>51</v>
      </c>
      <c r="R33" s="22" t="str">
        <f>IF(COUNTIF(fest!$A$1:$A$18,B33)&gt;0,"FESTIVO", IF(OR(WEEKDAY(B33,2)=6,WEEKDAY(B33,2)=7),"NO HÁBIL","HÁBIL"))</f>
        <v>HÁBIL</v>
      </c>
    </row>
    <row r="34" spans="1:18" ht="15.75" customHeight="1" x14ac:dyDescent="0.2">
      <c r="A34" s="22" t="s">
        <v>43</v>
      </c>
      <c r="B34" s="23">
        <v>46120</v>
      </c>
      <c r="C34" s="6" t="s">
        <v>16</v>
      </c>
      <c r="D34" s="6" t="s">
        <v>12</v>
      </c>
      <c r="E34" s="6" t="s">
        <v>13</v>
      </c>
      <c r="F34" s="6" t="s">
        <v>14</v>
      </c>
      <c r="G34" s="24">
        <v>0.3125</v>
      </c>
      <c r="H34" s="24">
        <f t="shared" si="2"/>
        <v>0.71527777777777779</v>
      </c>
      <c r="I34" s="8">
        <f t="shared" si="3"/>
        <v>0.40277777777777779</v>
      </c>
      <c r="J34" s="24">
        <v>0.31041666666666667</v>
      </c>
      <c r="K34" s="24">
        <v>0.32569444444444445</v>
      </c>
      <c r="L34" s="24">
        <f t="shared" si="0"/>
        <v>1.5277777777777779E-2</v>
      </c>
      <c r="M34" s="24">
        <f>+K34+N34</f>
        <v>0.34097222222222223</v>
      </c>
      <c r="N34" s="8">
        <f>AVERAGE(N32:N33)</f>
        <v>1.5277777777777779E-2</v>
      </c>
      <c r="O34" s="24">
        <f t="shared" si="1"/>
        <v>3.0555555555555558E-2</v>
      </c>
      <c r="P34" s="22">
        <v>0</v>
      </c>
      <c r="Q34" s="25" t="s">
        <v>51</v>
      </c>
      <c r="R34" s="22" t="str">
        <f>IF(COUNTIF(fest!$A$1:$A$18,B34)&gt;0,"FESTIVO", IF(OR(WEEKDAY(B34,2)=6,WEEKDAY(B34,2)=7),"NO HÁBIL","HÁBIL"))</f>
        <v>HÁBIL</v>
      </c>
    </row>
    <row r="35" spans="1:18" ht="15.75" customHeight="1" x14ac:dyDescent="0.2">
      <c r="A35" s="22" t="s">
        <v>44</v>
      </c>
      <c r="B35" s="23">
        <v>46120</v>
      </c>
      <c r="C35" s="6" t="s">
        <v>11</v>
      </c>
      <c r="D35" s="6" t="s">
        <v>17</v>
      </c>
      <c r="E35" s="6" t="s">
        <v>14</v>
      </c>
      <c r="F35" s="6" t="s">
        <v>13</v>
      </c>
      <c r="G35" s="24">
        <v>0.71527777777777779</v>
      </c>
      <c r="H35" s="24">
        <f t="shared" si="2"/>
        <v>0.73958333333333337</v>
      </c>
      <c r="I35" s="8">
        <f t="shared" si="3"/>
        <v>2.430555555555558E-2</v>
      </c>
      <c r="J35" s="24">
        <v>0.70833333333333337</v>
      </c>
      <c r="K35" s="24">
        <v>0.71736111111111112</v>
      </c>
      <c r="L35" s="24">
        <f t="shared" si="0"/>
        <v>9.0277777777777457E-3</v>
      </c>
      <c r="M35" s="24">
        <v>0.7416666666666667</v>
      </c>
      <c r="N35" s="8">
        <f>+M35-K35</f>
        <v>2.430555555555558E-2</v>
      </c>
      <c r="O35" s="24">
        <f t="shared" si="1"/>
        <v>3.3333333333333326E-2</v>
      </c>
      <c r="P35" s="22">
        <v>5</v>
      </c>
      <c r="Q35" s="25" t="s">
        <v>48</v>
      </c>
      <c r="R35" s="22" t="str">
        <f>IF(COUNTIF(fest!$A$1:$A$18,B35)&gt;0,"FESTIVO", IF(OR(WEEKDAY(B35,2)=6,WEEKDAY(B35,2)=7),"NO HÁBIL","HÁBIL"))</f>
        <v>HÁBIL</v>
      </c>
    </row>
    <row r="36" spans="1:18" ht="15.75" customHeight="1" x14ac:dyDescent="0.2">
      <c r="A36" s="22" t="s">
        <v>44</v>
      </c>
      <c r="B36" s="23">
        <v>46120</v>
      </c>
      <c r="C36" s="6" t="s">
        <v>15</v>
      </c>
      <c r="D36" s="6" t="s">
        <v>17</v>
      </c>
      <c r="E36" s="6" t="s">
        <v>14</v>
      </c>
      <c r="F36" s="6" t="s">
        <v>13</v>
      </c>
      <c r="G36" s="24">
        <v>0.73958333333333337</v>
      </c>
      <c r="H36" s="24">
        <f t="shared" si="2"/>
        <v>0.76388888888888884</v>
      </c>
      <c r="I36" s="8">
        <f t="shared" si="3"/>
        <v>2.4305555555555469E-2</v>
      </c>
      <c r="J36" s="24">
        <v>0.7416666666666667</v>
      </c>
      <c r="K36" s="24">
        <v>0.74652777777777779</v>
      </c>
      <c r="L36" s="24">
        <f t="shared" si="0"/>
        <v>4.8611111111110938E-3</v>
      </c>
      <c r="M36" s="24">
        <v>0.76249999999999996</v>
      </c>
      <c r="N36" s="8">
        <f>+M36-K36</f>
        <v>1.5972222222222165E-2</v>
      </c>
      <c r="O36" s="24">
        <f t="shared" si="1"/>
        <v>2.0833333333333259E-2</v>
      </c>
      <c r="P36" s="22">
        <v>0</v>
      </c>
      <c r="Q36" s="25" t="s">
        <v>45</v>
      </c>
      <c r="R36" s="22" t="str">
        <f>IF(COUNTIF(fest!$A$1:$A$18,B36)&gt;0,"FESTIVO", IF(OR(WEEKDAY(B36,2)=6,WEEKDAY(B36,2)=7),"NO HÁBIL","HÁBIL"))</f>
        <v>HÁBIL</v>
      </c>
    </row>
    <row r="37" spans="1:18" ht="15.75" customHeight="1" x14ac:dyDescent="0.2">
      <c r="A37" s="22" t="s">
        <v>44</v>
      </c>
      <c r="B37" s="23">
        <v>46120</v>
      </c>
      <c r="C37" s="6" t="s">
        <v>16</v>
      </c>
      <c r="D37" s="6" t="s">
        <v>17</v>
      </c>
      <c r="E37" s="6" t="s">
        <v>14</v>
      </c>
      <c r="F37" s="6" t="s">
        <v>13</v>
      </c>
      <c r="G37" s="24">
        <v>0.76388888888888884</v>
      </c>
      <c r="H37" s="24">
        <f t="shared" si="2"/>
        <v>0.27083333333333331</v>
      </c>
      <c r="I37" s="8">
        <f t="shared" si="3"/>
        <v>-0.49305555555555552</v>
      </c>
      <c r="J37" s="24">
        <v>0.76249999999999996</v>
      </c>
      <c r="K37" s="24">
        <v>0.76666666666666672</v>
      </c>
      <c r="L37" s="24">
        <f t="shared" si="0"/>
        <v>4.1666666666667629E-3</v>
      </c>
      <c r="M37" s="24">
        <v>0.77638888888888891</v>
      </c>
      <c r="N37" s="8">
        <f>AVERAGE(N35:N36)</f>
        <v>2.0138888888888873E-2</v>
      </c>
      <c r="O37" s="24">
        <f t="shared" si="1"/>
        <v>2.4305555555555636E-2</v>
      </c>
      <c r="P37" s="22">
        <v>5</v>
      </c>
      <c r="Q37" s="25" t="s">
        <v>48</v>
      </c>
      <c r="R37" s="22" t="str">
        <f>IF(COUNTIF(fest!$A$1:$A$18,B37)&gt;0,"FESTIVO", IF(OR(WEEKDAY(B37,2)=6,WEEKDAY(B37,2)=7),"NO HÁBIL","HÁBIL"))</f>
        <v>HÁBIL</v>
      </c>
    </row>
    <row r="38" spans="1:18" ht="15.75" customHeight="1" x14ac:dyDescent="0.2">
      <c r="A38" s="22" t="s">
        <v>43</v>
      </c>
      <c r="B38" s="23">
        <v>46121</v>
      </c>
      <c r="C38" s="6" t="s">
        <v>11</v>
      </c>
      <c r="D38" s="6" t="s">
        <v>12</v>
      </c>
      <c r="E38" s="6" t="s">
        <v>13</v>
      </c>
      <c r="F38" s="6" t="s">
        <v>14</v>
      </c>
      <c r="G38" s="24">
        <v>0.27083333333333331</v>
      </c>
      <c r="H38" s="24">
        <f t="shared" si="2"/>
        <v>0.29166666666666669</v>
      </c>
      <c r="I38" s="8">
        <f t="shared" si="3"/>
        <v>2.083333333333337E-2</v>
      </c>
      <c r="J38" s="24">
        <v>0.2638888888888889</v>
      </c>
      <c r="K38" s="24">
        <v>0.27291666666666664</v>
      </c>
      <c r="L38" s="24">
        <f t="shared" si="0"/>
        <v>9.0277777777777457E-3</v>
      </c>
      <c r="M38" s="24">
        <v>0.28819444444444442</v>
      </c>
      <c r="N38" s="8">
        <f>+M38-K38</f>
        <v>1.5277777777777779E-2</v>
      </c>
      <c r="O38" s="24">
        <f t="shared" si="1"/>
        <v>2.4305555555555525E-2</v>
      </c>
      <c r="P38" s="22">
        <v>1</v>
      </c>
      <c r="Q38" s="25" t="s">
        <v>51</v>
      </c>
      <c r="R38" s="22" t="str">
        <f>IF(COUNTIF(fest!$A$1:$A$18,B38)&gt;0,"FESTIVO", IF(OR(WEEKDAY(B38,2)=6,WEEKDAY(B38,2)=7),"NO HÁBIL","HÁBIL"))</f>
        <v>HÁBIL</v>
      </c>
    </row>
    <row r="39" spans="1:18" ht="15.75" customHeight="1" x14ac:dyDescent="0.2">
      <c r="A39" s="22" t="s">
        <v>43</v>
      </c>
      <c r="B39" s="23">
        <v>46121</v>
      </c>
      <c r="C39" s="6" t="s">
        <v>15</v>
      </c>
      <c r="D39" s="6" t="s">
        <v>12</v>
      </c>
      <c r="E39" s="6" t="s">
        <v>13</v>
      </c>
      <c r="F39" s="6" t="s">
        <v>14</v>
      </c>
      <c r="G39" s="24">
        <v>0.29166666666666669</v>
      </c>
      <c r="H39" s="24">
        <f t="shared" si="2"/>
        <v>0.3125</v>
      </c>
      <c r="I39" s="8">
        <f t="shared" si="3"/>
        <v>2.0833333333333315E-2</v>
      </c>
      <c r="J39" s="24">
        <v>0.28819444444444442</v>
      </c>
      <c r="K39" s="24">
        <v>0.29375000000000001</v>
      </c>
      <c r="L39" s="24">
        <f t="shared" si="0"/>
        <v>5.5555555555555913E-3</v>
      </c>
      <c r="M39" s="24">
        <v>0.31388888888888888</v>
      </c>
      <c r="N39" s="8">
        <f>+M39-K39</f>
        <v>2.0138888888888873E-2</v>
      </c>
      <c r="O39" s="24">
        <f t="shared" si="1"/>
        <v>2.5694444444444464E-2</v>
      </c>
      <c r="P39" s="22">
        <v>4</v>
      </c>
      <c r="Q39" s="25" t="s">
        <v>51</v>
      </c>
      <c r="R39" s="22" t="str">
        <f>IF(COUNTIF(fest!$A$1:$A$18,B39)&gt;0,"FESTIVO", IF(OR(WEEKDAY(B39,2)=6,WEEKDAY(B39,2)=7),"NO HÁBIL","HÁBIL"))</f>
        <v>HÁBIL</v>
      </c>
    </row>
    <row r="40" spans="1:18" ht="15.75" customHeight="1" x14ac:dyDescent="0.2">
      <c r="A40" s="22" t="s">
        <v>43</v>
      </c>
      <c r="B40" s="23">
        <v>46121</v>
      </c>
      <c r="C40" s="6" t="s">
        <v>16</v>
      </c>
      <c r="D40" s="6" t="s">
        <v>12</v>
      </c>
      <c r="E40" s="6" t="s">
        <v>13</v>
      </c>
      <c r="F40" s="6" t="s">
        <v>14</v>
      </c>
      <c r="G40" s="24">
        <v>0.3125</v>
      </c>
      <c r="H40" s="24">
        <f t="shared" si="2"/>
        <v>0.71527777777777779</v>
      </c>
      <c r="I40" s="8">
        <f t="shared" si="3"/>
        <v>0.40277777777777779</v>
      </c>
      <c r="J40" s="24">
        <v>0.31388888888888888</v>
      </c>
      <c r="K40" s="24">
        <v>0.31458333333333333</v>
      </c>
      <c r="L40" s="24">
        <f t="shared" si="0"/>
        <v>6.9444444444444198E-4</v>
      </c>
      <c r="M40" s="24">
        <f>+K40+N40</f>
        <v>0.33229166666666665</v>
      </c>
      <c r="N40" s="8">
        <f>AVERAGE(N38:N39)</f>
        <v>1.7708333333333326E-2</v>
      </c>
      <c r="O40" s="24">
        <f t="shared" si="1"/>
        <v>1.8402777777777768E-2</v>
      </c>
      <c r="P40" s="22">
        <v>1</v>
      </c>
      <c r="Q40" s="25" t="s">
        <v>51</v>
      </c>
      <c r="R40" s="22" t="str">
        <f>IF(COUNTIF(fest!$A$1:$A$18,B40)&gt;0,"FESTIVO", IF(OR(WEEKDAY(B40,2)=6,WEEKDAY(B40,2)=7),"NO HÁBIL","HÁBIL"))</f>
        <v>HÁBIL</v>
      </c>
    </row>
    <row r="41" spans="1:18" ht="15.75" customHeight="1" x14ac:dyDescent="0.2">
      <c r="A41" s="22" t="s">
        <v>44</v>
      </c>
      <c r="B41" s="23">
        <v>46121</v>
      </c>
      <c r="C41" s="6" t="s">
        <v>11</v>
      </c>
      <c r="D41" s="6" t="s">
        <v>17</v>
      </c>
      <c r="E41" s="6" t="s">
        <v>14</v>
      </c>
      <c r="F41" s="6" t="s">
        <v>13</v>
      </c>
      <c r="G41" s="24">
        <v>0.71527777777777779</v>
      </c>
      <c r="H41" s="24">
        <f t="shared" si="2"/>
        <v>0.73958333333333337</v>
      </c>
      <c r="I41" s="8">
        <f t="shared" si="3"/>
        <v>2.430555555555558E-2</v>
      </c>
      <c r="J41" s="24">
        <v>0.70833333333333337</v>
      </c>
      <c r="K41" s="24">
        <v>0.71805555555555556</v>
      </c>
      <c r="L41" s="24">
        <f t="shared" si="0"/>
        <v>9.7222222222221877E-3</v>
      </c>
      <c r="M41" s="24">
        <v>0.74027777777777781</v>
      </c>
      <c r="N41" s="8">
        <f>+M41-K41</f>
        <v>2.2222222222222254E-2</v>
      </c>
      <c r="O41" s="24">
        <f t="shared" si="1"/>
        <v>3.1944444444444442E-2</v>
      </c>
      <c r="P41" s="22">
        <v>4</v>
      </c>
      <c r="Q41" s="25" t="s">
        <v>48</v>
      </c>
      <c r="R41" s="22" t="str">
        <f>IF(COUNTIF(fest!$A$1:$A$18,B41)&gt;0,"FESTIVO", IF(OR(WEEKDAY(B41,2)=6,WEEKDAY(B41,2)=7),"NO HÁBIL","HÁBIL"))</f>
        <v>HÁBIL</v>
      </c>
    </row>
    <row r="42" spans="1:18" ht="15.75" customHeight="1" x14ac:dyDescent="0.2">
      <c r="A42" s="22" t="s">
        <v>44</v>
      </c>
      <c r="B42" s="23">
        <v>46121</v>
      </c>
      <c r="C42" s="6" t="s">
        <v>15</v>
      </c>
      <c r="D42" s="6" t="s">
        <v>17</v>
      </c>
      <c r="E42" s="6" t="s">
        <v>14</v>
      </c>
      <c r="F42" s="6" t="s">
        <v>13</v>
      </c>
      <c r="G42" s="24">
        <v>0.73958333333333337</v>
      </c>
      <c r="H42" s="24">
        <f t="shared" si="2"/>
        <v>0.76388888888888884</v>
      </c>
      <c r="I42" s="8">
        <f t="shared" si="3"/>
        <v>2.4305555555555469E-2</v>
      </c>
      <c r="J42" s="24">
        <v>0.74027777777777781</v>
      </c>
      <c r="K42" s="24">
        <v>0.74652777777777779</v>
      </c>
      <c r="L42" s="24">
        <f t="shared" si="0"/>
        <v>6.2499999999999778E-3</v>
      </c>
      <c r="M42" s="24">
        <v>0.76041666666666663</v>
      </c>
      <c r="N42" s="8">
        <f>+M42-K42</f>
        <v>1.388888888888884E-2</v>
      </c>
      <c r="O42" s="24">
        <f t="shared" si="1"/>
        <v>2.0138888888888817E-2</v>
      </c>
      <c r="P42" s="22">
        <v>0</v>
      </c>
      <c r="Q42" s="25" t="s">
        <v>45</v>
      </c>
      <c r="R42" s="22" t="str">
        <f>IF(COUNTIF(fest!$A$1:$A$18,B42)&gt;0,"FESTIVO", IF(OR(WEEKDAY(B42,2)=6,WEEKDAY(B42,2)=7),"NO HÁBIL","HÁBIL"))</f>
        <v>HÁBIL</v>
      </c>
    </row>
    <row r="43" spans="1:18" ht="15.75" customHeight="1" x14ac:dyDescent="0.2">
      <c r="A43" s="22" t="s">
        <v>44</v>
      </c>
      <c r="B43" s="23">
        <v>46121</v>
      </c>
      <c r="C43" s="6" t="s">
        <v>16</v>
      </c>
      <c r="D43" s="6" t="s">
        <v>17</v>
      </c>
      <c r="E43" s="6" t="s">
        <v>14</v>
      </c>
      <c r="F43" s="6" t="s">
        <v>13</v>
      </c>
      <c r="G43" s="24">
        <v>0.76388888888888884</v>
      </c>
      <c r="H43" s="24">
        <f t="shared" si="2"/>
        <v>0.27083333333333331</v>
      </c>
      <c r="I43" s="8">
        <f t="shared" si="3"/>
        <v>-0.49305555555555552</v>
      </c>
      <c r="J43" s="24">
        <v>0.76041666666666663</v>
      </c>
      <c r="K43" s="24">
        <v>0.78333333333333333</v>
      </c>
      <c r="L43" s="24">
        <f t="shared" si="0"/>
        <v>2.2916666666666696E-2</v>
      </c>
      <c r="M43" s="24">
        <f>+K43+N43</f>
        <v>0.80138888888888893</v>
      </c>
      <c r="N43" s="8">
        <f>AVERAGE(N41:N42)</f>
        <v>1.8055555555555547E-2</v>
      </c>
      <c r="O43" s="24">
        <f t="shared" si="1"/>
        <v>4.0972222222222243E-2</v>
      </c>
      <c r="P43" s="22">
        <v>4</v>
      </c>
      <c r="Q43" s="25" t="s">
        <v>48</v>
      </c>
      <c r="R43" s="22" t="str">
        <f>IF(COUNTIF(fest!$A$1:$A$18,B43)&gt;0,"FESTIVO", IF(OR(WEEKDAY(B43,2)=6,WEEKDAY(B43,2)=7),"NO HÁBIL","HÁBIL"))</f>
        <v>HÁBIL</v>
      </c>
    </row>
    <row r="44" spans="1:18" ht="15.75" customHeight="1" x14ac:dyDescent="0.2">
      <c r="A44" s="22" t="s">
        <v>43</v>
      </c>
      <c r="B44" s="23">
        <v>46122</v>
      </c>
      <c r="C44" s="6" t="s">
        <v>11</v>
      </c>
      <c r="D44" s="6" t="s">
        <v>12</v>
      </c>
      <c r="E44" s="6" t="s">
        <v>13</v>
      </c>
      <c r="F44" s="6" t="s">
        <v>14</v>
      </c>
      <c r="G44" s="24">
        <v>0.27083333333333331</v>
      </c>
      <c r="H44" s="24">
        <f t="shared" si="2"/>
        <v>0.29166666666666669</v>
      </c>
      <c r="I44" s="8">
        <f t="shared" si="3"/>
        <v>2.083333333333337E-2</v>
      </c>
      <c r="J44" s="24">
        <v>0.2638888888888889</v>
      </c>
      <c r="K44" s="24">
        <v>0.27430555555555558</v>
      </c>
      <c r="L44" s="24">
        <f t="shared" si="0"/>
        <v>1.0416666666666685E-2</v>
      </c>
      <c r="M44" s="24">
        <v>0.28888888888888886</v>
      </c>
      <c r="N44" s="8">
        <f>+M44-K44</f>
        <v>1.4583333333333282E-2</v>
      </c>
      <c r="O44" s="24">
        <f t="shared" si="1"/>
        <v>2.4999999999999967E-2</v>
      </c>
      <c r="P44" s="22">
        <v>1</v>
      </c>
      <c r="Q44" s="25" t="s">
        <v>51</v>
      </c>
      <c r="R44" s="22" t="str">
        <f>IF(COUNTIF(fest!$A$1:$A$18,B44)&gt;0,"FESTIVO", IF(OR(WEEKDAY(B44,2)=6,WEEKDAY(B44,2)=7),"NO HÁBIL","HÁBIL"))</f>
        <v>HÁBIL</v>
      </c>
    </row>
    <row r="45" spans="1:18" ht="15.75" customHeight="1" x14ac:dyDescent="0.2">
      <c r="A45" s="22" t="s">
        <v>43</v>
      </c>
      <c r="B45" s="23">
        <v>46122</v>
      </c>
      <c r="C45" s="6" t="s">
        <v>15</v>
      </c>
      <c r="D45" s="6" t="s">
        <v>12</v>
      </c>
      <c r="E45" s="6" t="s">
        <v>13</v>
      </c>
      <c r="F45" s="6" t="s">
        <v>14</v>
      </c>
      <c r="G45" s="24">
        <v>0.29166666666666669</v>
      </c>
      <c r="H45" s="24">
        <f t="shared" si="2"/>
        <v>0.3125</v>
      </c>
      <c r="I45" s="8">
        <f t="shared" si="3"/>
        <v>2.0833333333333315E-2</v>
      </c>
      <c r="J45" s="24">
        <v>0.28888888888888886</v>
      </c>
      <c r="K45" s="24">
        <v>0.29375000000000001</v>
      </c>
      <c r="L45" s="24">
        <f t="shared" si="0"/>
        <v>4.8611111111111494E-3</v>
      </c>
      <c r="M45" s="24">
        <v>0.31041666666666667</v>
      </c>
      <c r="N45" s="8">
        <f>+M45-K45</f>
        <v>1.6666666666666663E-2</v>
      </c>
      <c r="O45" s="24">
        <f t="shared" si="1"/>
        <v>2.1527777777777812E-2</v>
      </c>
      <c r="P45" s="22">
        <v>2</v>
      </c>
      <c r="Q45" s="25" t="s">
        <v>51</v>
      </c>
      <c r="R45" s="22" t="str">
        <f>IF(COUNTIF(fest!$A$1:$A$18,B45)&gt;0,"FESTIVO", IF(OR(WEEKDAY(B45,2)=6,WEEKDAY(B45,2)=7),"NO HÁBIL","HÁBIL"))</f>
        <v>HÁBIL</v>
      </c>
    </row>
    <row r="46" spans="1:18" ht="15.75" customHeight="1" x14ac:dyDescent="0.2">
      <c r="A46" s="22" t="s">
        <v>43</v>
      </c>
      <c r="B46" s="23">
        <v>46122</v>
      </c>
      <c r="C46" s="6" t="s">
        <v>16</v>
      </c>
      <c r="D46" s="6" t="s">
        <v>12</v>
      </c>
      <c r="E46" s="6" t="s">
        <v>13</v>
      </c>
      <c r="F46" s="6" t="s">
        <v>14</v>
      </c>
      <c r="G46" s="24">
        <v>0.3125</v>
      </c>
      <c r="H46" s="24">
        <f t="shared" si="2"/>
        <v>0.71527777777777779</v>
      </c>
      <c r="I46" s="8">
        <f t="shared" si="3"/>
        <v>0.40277777777777779</v>
      </c>
      <c r="J46" s="24">
        <v>0.31041666666666667</v>
      </c>
      <c r="K46" s="24">
        <v>0.31944444444444442</v>
      </c>
      <c r="L46" s="24">
        <f t="shared" si="0"/>
        <v>9.0277777777777457E-3</v>
      </c>
      <c r="M46" s="24">
        <f>+K46+N46</f>
        <v>0.33506944444444442</v>
      </c>
      <c r="N46" s="8">
        <f>AVERAGE(N44:N45)</f>
        <v>1.5624999999999972E-2</v>
      </c>
      <c r="O46" s="24">
        <f t="shared" si="1"/>
        <v>2.4652777777777718E-2</v>
      </c>
      <c r="P46" s="22">
        <v>1</v>
      </c>
      <c r="Q46" s="25" t="s">
        <v>51</v>
      </c>
      <c r="R46" s="22" t="str">
        <f>IF(COUNTIF(fest!$A$1:$A$18,B46)&gt;0,"FESTIVO", IF(OR(WEEKDAY(B46,2)=6,WEEKDAY(B46,2)=7),"NO HÁBIL","HÁBIL"))</f>
        <v>HÁBIL</v>
      </c>
    </row>
    <row r="47" spans="1:18" ht="15.75" customHeight="1" x14ac:dyDescent="0.2">
      <c r="A47" s="22" t="s">
        <v>44</v>
      </c>
      <c r="B47" s="23">
        <v>46122</v>
      </c>
      <c r="C47" s="6" t="s">
        <v>11</v>
      </c>
      <c r="D47" s="6" t="s">
        <v>17</v>
      </c>
      <c r="E47" s="6" t="s">
        <v>14</v>
      </c>
      <c r="F47" s="6" t="s">
        <v>13</v>
      </c>
      <c r="G47" s="24">
        <v>0.71527777777777779</v>
      </c>
      <c r="H47" s="24">
        <f t="shared" si="2"/>
        <v>0.73958333333333337</v>
      </c>
      <c r="I47" s="8">
        <f t="shared" si="3"/>
        <v>2.430555555555558E-2</v>
      </c>
      <c r="J47" s="24">
        <v>0.66736111111111107</v>
      </c>
      <c r="K47" s="24">
        <v>0.67569444444444449</v>
      </c>
      <c r="L47" s="24">
        <f t="shared" si="0"/>
        <v>8.3333333333334147E-3</v>
      </c>
      <c r="M47" s="24">
        <v>0.68194444444444446</v>
      </c>
      <c r="N47" s="8">
        <f>+M47-K47</f>
        <v>6.2499999999999778E-3</v>
      </c>
      <c r="O47" s="24">
        <f t="shared" si="1"/>
        <v>1.4583333333333393E-2</v>
      </c>
      <c r="P47" s="22">
        <v>2</v>
      </c>
      <c r="Q47" s="25" t="s">
        <v>48</v>
      </c>
      <c r="R47" s="22" t="str">
        <f>IF(COUNTIF(fest!$A$1:$A$18,B47)&gt;0,"FESTIVO", IF(OR(WEEKDAY(B47,2)=6,WEEKDAY(B47,2)=7),"NO HÁBIL","HÁBIL"))</f>
        <v>HÁBIL</v>
      </c>
    </row>
    <row r="48" spans="1:18" ht="15.75" customHeight="1" x14ac:dyDescent="0.2">
      <c r="A48" s="22" t="s">
        <v>44</v>
      </c>
      <c r="B48" s="23">
        <v>46122</v>
      </c>
      <c r="C48" s="6" t="s">
        <v>15</v>
      </c>
      <c r="D48" s="6" t="s">
        <v>17</v>
      </c>
      <c r="E48" s="6" t="s">
        <v>14</v>
      </c>
      <c r="F48" s="6" t="s">
        <v>13</v>
      </c>
      <c r="G48" s="24">
        <v>0.73958333333333337</v>
      </c>
      <c r="H48" s="24">
        <f t="shared" si="2"/>
        <v>0.76388888888888884</v>
      </c>
      <c r="I48" s="8">
        <f t="shared" si="3"/>
        <v>2.4305555555555469E-2</v>
      </c>
      <c r="J48" s="24">
        <v>0.68194444444444446</v>
      </c>
      <c r="K48" s="24">
        <v>0.69097222222222221</v>
      </c>
      <c r="L48" s="24">
        <f t="shared" si="0"/>
        <v>9.0277777777777457E-3</v>
      </c>
      <c r="M48" s="24">
        <v>0.71666666666666667</v>
      </c>
      <c r="N48" s="8">
        <f>+M48-K48</f>
        <v>2.5694444444444464E-2</v>
      </c>
      <c r="O48" s="24">
        <f t="shared" si="1"/>
        <v>3.472222222222221E-2</v>
      </c>
      <c r="P48" s="22">
        <v>0</v>
      </c>
      <c r="Q48" s="25" t="s">
        <v>45</v>
      </c>
      <c r="R48" s="22" t="str">
        <f>IF(COUNTIF(fest!$A$1:$A$18,B48)&gt;0,"FESTIVO", IF(OR(WEEKDAY(B48,2)=6,WEEKDAY(B48,2)=7),"NO HÁBIL","HÁBIL"))</f>
        <v>HÁBIL</v>
      </c>
    </row>
    <row r="49" spans="1:18" ht="15.75" customHeight="1" x14ac:dyDescent="0.2">
      <c r="A49" s="22" t="s">
        <v>44</v>
      </c>
      <c r="B49" s="23">
        <v>46122</v>
      </c>
      <c r="C49" s="6" t="s">
        <v>16</v>
      </c>
      <c r="D49" s="6" t="s">
        <v>17</v>
      </c>
      <c r="E49" s="6" t="s">
        <v>14</v>
      </c>
      <c r="F49" s="6" t="s">
        <v>13</v>
      </c>
      <c r="G49" s="24">
        <v>0.76388888888888884</v>
      </c>
      <c r="H49" s="24">
        <f t="shared" si="2"/>
        <v>0.27083333333333331</v>
      </c>
      <c r="I49" s="8">
        <f t="shared" si="3"/>
        <v>-0.49305555555555552</v>
      </c>
      <c r="J49" s="24">
        <v>0.71666666666666667</v>
      </c>
      <c r="K49" s="24">
        <v>0.72430555555555554</v>
      </c>
      <c r="L49" s="24">
        <f t="shared" si="0"/>
        <v>7.6388888888888618E-3</v>
      </c>
      <c r="M49" s="24">
        <f>+K49+N49</f>
        <v>0.74027777777777781</v>
      </c>
      <c r="N49" s="8">
        <f>AVERAGE(N47:N48)</f>
        <v>1.5972222222222221E-2</v>
      </c>
      <c r="O49" s="24">
        <f t="shared" si="1"/>
        <v>2.3611111111111083E-2</v>
      </c>
      <c r="P49" s="22">
        <v>7</v>
      </c>
      <c r="Q49" s="25" t="s">
        <v>48</v>
      </c>
      <c r="R49" s="22" t="str">
        <f>IF(COUNTIF(fest!$A$1:$A$18,B49)&gt;0,"FESTIVO", IF(OR(WEEKDAY(B49,2)=6,WEEKDAY(B49,2)=7),"NO HÁBIL","HÁBIL"))</f>
        <v>HÁBIL</v>
      </c>
    </row>
    <row r="50" spans="1:18" ht="15.75" customHeight="1" x14ac:dyDescent="0.2">
      <c r="A50" s="22" t="s">
        <v>43</v>
      </c>
      <c r="B50" s="23">
        <v>46125</v>
      </c>
      <c r="C50" s="6" t="s">
        <v>11</v>
      </c>
      <c r="D50" s="6" t="s">
        <v>12</v>
      </c>
      <c r="E50" s="6" t="s">
        <v>13</v>
      </c>
      <c r="F50" s="6" t="s">
        <v>14</v>
      </c>
      <c r="G50" s="24">
        <v>0.27083333333333331</v>
      </c>
      <c r="H50" s="24">
        <f t="shared" si="2"/>
        <v>0.29166666666666669</v>
      </c>
      <c r="I50" s="8">
        <f t="shared" si="3"/>
        <v>2.083333333333337E-2</v>
      </c>
      <c r="J50" s="24">
        <v>0.26458333333333334</v>
      </c>
      <c r="K50" s="24">
        <v>0.27291666666666664</v>
      </c>
      <c r="L50" s="24">
        <f t="shared" si="0"/>
        <v>8.3333333333333037E-3</v>
      </c>
      <c r="M50" s="24">
        <v>0.28749999999999998</v>
      </c>
      <c r="N50" s="8">
        <f>+M50-K50</f>
        <v>1.4583333333333337E-2</v>
      </c>
      <c r="O50" s="24">
        <f t="shared" si="1"/>
        <v>2.2916666666666641E-2</v>
      </c>
      <c r="P50" s="22">
        <v>6</v>
      </c>
      <c r="Q50" s="25" t="s">
        <v>51</v>
      </c>
      <c r="R50" s="22" t="str">
        <f>IF(COUNTIF(fest!$A$1:$A$18,B50)&gt;0,"FESTIVO", IF(OR(WEEKDAY(B50,2)=6,WEEKDAY(B50,2)=7),"NO HÁBIL","HÁBIL"))</f>
        <v>HÁBIL</v>
      </c>
    </row>
    <row r="51" spans="1:18" ht="15.75" customHeight="1" x14ac:dyDescent="0.2">
      <c r="A51" s="22" t="s">
        <v>43</v>
      </c>
      <c r="B51" s="23">
        <v>46125</v>
      </c>
      <c r="C51" s="6" t="s">
        <v>15</v>
      </c>
      <c r="D51" s="6" t="s">
        <v>12</v>
      </c>
      <c r="E51" s="6" t="s">
        <v>13</v>
      </c>
      <c r="F51" s="6" t="s">
        <v>14</v>
      </c>
      <c r="G51" s="24">
        <v>0.29166666666666669</v>
      </c>
      <c r="H51" s="24">
        <f t="shared" si="2"/>
        <v>0.3125</v>
      </c>
      <c r="I51" s="8">
        <f t="shared" si="3"/>
        <v>2.0833333333333315E-2</v>
      </c>
      <c r="J51" s="24">
        <v>0.28749999999999998</v>
      </c>
      <c r="K51" s="24">
        <v>0.29375000000000001</v>
      </c>
      <c r="L51" s="24">
        <f t="shared" si="0"/>
        <v>6.2500000000000333E-3</v>
      </c>
      <c r="M51" s="24">
        <v>0.30902777777777779</v>
      </c>
      <c r="N51" s="8">
        <f>+M51-K51</f>
        <v>1.5277777777777779E-2</v>
      </c>
      <c r="O51" s="24">
        <f t="shared" si="1"/>
        <v>2.1527777777777812E-2</v>
      </c>
      <c r="P51" s="22">
        <v>2</v>
      </c>
      <c r="Q51" s="25" t="s">
        <v>51</v>
      </c>
      <c r="R51" s="22" t="str">
        <f>IF(COUNTIF(fest!$A$1:$A$18,B51)&gt;0,"FESTIVO", IF(OR(WEEKDAY(B51,2)=6,WEEKDAY(B51,2)=7),"NO HÁBIL","HÁBIL"))</f>
        <v>HÁBIL</v>
      </c>
    </row>
    <row r="52" spans="1:18" ht="15.75" customHeight="1" x14ac:dyDescent="0.2">
      <c r="A52" s="22" t="s">
        <v>43</v>
      </c>
      <c r="B52" s="23">
        <v>46125</v>
      </c>
      <c r="C52" s="6" t="s">
        <v>16</v>
      </c>
      <c r="D52" s="6" t="s">
        <v>12</v>
      </c>
      <c r="E52" s="6" t="s">
        <v>13</v>
      </c>
      <c r="F52" s="6" t="s">
        <v>14</v>
      </c>
      <c r="G52" s="24">
        <v>0.3125</v>
      </c>
      <c r="H52" s="24">
        <f t="shared" si="2"/>
        <v>0.71527777777777779</v>
      </c>
      <c r="I52" s="8">
        <f t="shared" si="3"/>
        <v>0.40277777777777779</v>
      </c>
      <c r="J52" s="24">
        <v>0.30902777777777779</v>
      </c>
      <c r="K52" s="24">
        <v>0.31527777777777777</v>
      </c>
      <c r="L52" s="24">
        <f t="shared" si="0"/>
        <v>6.2499999999999778E-3</v>
      </c>
      <c r="M52" s="24">
        <f>+K52+N52</f>
        <v>0.33020833333333333</v>
      </c>
      <c r="N52" s="8">
        <f>AVERAGE(N50:N51)</f>
        <v>1.4930555555555558E-2</v>
      </c>
      <c r="O52" s="24">
        <f t="shared" si="1"/>
        <v>2.1180555555555536E-2</v>
      </c>
      <c r="P52" s="22">
        <v>1</v>
      </c>
      <c r="Q52" s="25" t="s">
        <v>51</v>
      </c>
      <c r="R52" s="22" t="str">
        <f>IF(COUNTIF(fest!$A$1:$A$18,B52)&gt;0,"FESTIVO", IF(OR(WEEKDAY(B52,2)=6,WEEKDAY(B52,2)=7),"NO HÁBIL","HÁBIL"))</f>
        <v>HÁBIL</v>
      </c>
    </row>
    <row r="53" spans="1:18" ht="15.75" customHeight="1" x14ac:dyDescent="0.2">
      <c r="A53" s="22" t="s">
        <v>44</v>
      </c>
      <c r="B53" s="23">
        <v>46125</v>
      </c>
      <c r="C53" s="6" t="s">
        <v>11</v>
      </c>
      <c r="D53" s="6" t="s">
        <v>17</v>
      </c>
      <c r="E53" s="6" t="s">
        <v>14</v>
      </c>
      <c r="F53" s="6" t="s">
        <v>13</v>
      </c>
      <c r="G53" s="24">
        <v>0.71527777777777779</v>
      </c>
      <c r="H53" s="24">
        <f t="shared" si="2"/>
        <v>0.73958333333333337</v>
      </c>
      <c r="I53" s="8">
        <f t="shared" si="3"/>
        <v>2.430555555555558E-2</v>
      </c>
      <c r="J53" s="24">
        <v>0.7104166666666667</v>
      </c>
      <c r="K53" s="24">
        <v>0.71736111111111112</v>
      </c>
      <c r="L53" s="24">
        <f t="shared" si="0"/>
        <v>6.9444444444444198E-3</v>
      </c>
      <c r="M53" s="24">
        <v>0.74375000000000002</v>
      </c>
      <c r="N53" s="8">
        <f>+M53-K53</f>
        <v>2.6388888888888906E-2</v>
      </c>
      <c r="O53" s="24">
        <f t="shared" si="1"/>
        <v>3.3333333333333326E-2</v>
      </c>
      <c r="P53" s="22">
        <v>6</v>
      </c>
      <c r="Q53" s="25" t="s">
        <v>48</v>
      </c>
      <c r="R53" s="22" t="str">
        <f>IF(COUNTIF(fest!$A$1:$A$18,B53)&gt;0,"FESTIVO", IF(OR(WEEKDAY(B53,2)=6,WEEKDAY(B53,2)=7),"NO HÁBIL","HÁBIL"))</f>
        <v>HÁBIL</v>
      </c>
    </row>
    <row r="54" spans="1:18" ht="15.75" customHeight="1" x14ac:dyDescent="0.2">
      <c r="A54" s="22" t="s">
        <v>44</v>
      </c>
      <c r="B54" s="23">
        <v>46125</v>
      </c>
      <c r="C54" s="6" t="s">
        <v>15</v>
      </c>
      <c r="D54" s="6" t="s">
        <v>17</v>
      </c>
      <c r="E54" s="6" t="s">
        <v>14</v>
      </c>
      <c r="F54" s="6" t="s">
        <v>13</v>
      </c>
      <c r="G54" s="24">
        <v>0.73958333333333337</v>
      </c>
      <c r="H54" s="24">
        <f t="shared" si="2"/>
        <v>0.76388888888888884</v>
      </c>
      <c r="I54" s="8">
        <f t="shared" si="3"/>
        <v>2.4305555555555469E-2</v>
      </c>
      <c r="J54" s="24">
        <v>0.74375000000000002</v>
      </c>
      <c r="K54" s="24">
        <v>0.74652777777777779</v>
      </c>
      <c r="L54" s="24">
        <f t="shared" si="0"/>
        <v>2.7777777777777679E-3</v>
      </c>
      <c r="M54" s="24">
        <v>0.76388888888888884</v>
      </c>
      <c r="N54" s="8">
        <f>+M54-K54</f>
        <v>1.7361111111111049E-2</v>
      </c>
      <c r="O54" s="24">
        <f t="shared" si="1"/>
        <v>2.0138888888888817E-2</v>
      </c>
      <c r="P54" s="22">
        <v>2</v>
      </c>
      <c r="Q54" s="25" t="s">
        <v>48</v>
      </c>
      <c r="R54" s="22" t="str">
        <f>IF(COUNTIF(fest!$A$1:$A$18,B54)&gt;0,"FESTIVO", IF(OR(WEEKDAY(B54,2)=6,WEEKDAY(B54,2)=7),"NO HÁBIL","HÁBIL"))</f>
        <v>HÁBIL</v>
      </c>
    </row>
    <row r="55" spans="1:18" ht="15.75" customHeight="1" x14ac:dyDescent="0.2">
      <c r="A55" s="22" t="s">
        <v>44</v>
      </c>
      <c r="B55" s="23">
        <v>46125</v>
      </c>
      <c r="C55" s="6" t="s">
        <v>16</v>
      </c>
      <c r="D55" s="6" t="s">
        <v>17</v>
      </c>
      <c r="E55" s="6" t="s">
        <v>14</v>
      </c>
      <c r="F55" s="6" t="s">
        <v>13</v>
      </c>
      <c r="G55" s="24">
        <v>0.76388888888888884</v>
      </c>
      <c r="H55" s="24">
        <f t="shared" si="2"/>
        <v>0.27083333333333331</v>
      </c>
      <c r="I55" s="8">
        <f t="shared" si="3"/>
        <v>-0.49305555555555552</v>
      </c>
      <c r="J55" s="24">
        <v>0.76388888888888884</v>
      </c>
      <c r="K55" s="24">
        <v>0.76736111111111116</v>
      </c>
      <c r="L55" s="24">
        <f t="shared" si="0"/>
        <v>3.4722222222223209E-3</v>
      </c>
      <c r="M55" s="24">
        <f>+K55+N55</f>
        <v>0.78923611111111114</v>
      </c>
      <c r="N55" s="8">
        <f>AVERAGE(N53:N54)</f>
        <v>2.1874999999999978E-2</v>
      </c>
      <c r="O55" s="24">
        <f t="shared" si="1"/>
        <v>2.5347222222222299E-2</v>
      </c>
      <c r="P55" s="22">
        <v>5</v>
      </c>
      <c r="Q55" s="25" t="s">
        <v>48</v>
      </c>
      <c r="R55" s="22" t="str">
        <f>IF(COUNTIF(fest!$A$1:$A$18,B55)&gt;0,"FESTIVO", IF(OR(WEEKDAY(B55,2)=6,WEEKDAY(B55,2)=7),"NO HÁBIL","HÁBIL"))</f>
        <v>HÁBIL</v>
      </c>
    </row>
    <row r="56" spans="1:18" ht="15.75" customHeight="1" x14ac:dyDescent="0.2">
      <c r="A56" s="22" t="s">
        <v>43</v>
      </c>
      <c r="B56" s="23">
        <v>46126</v>
      </c>
      <c r="C56" s="6" t="s">
        <v>11</v>
      </c>
      <c r="D56" s="6" t="s">
        <v>12</v>
      </c>
      <c r="E56" s="6" t="s">
        <v>13</v>
      </c>
      <c r="F56" s="6" t="s">
        <v>14</v>
      </c>
      <c r="G56" s="24">
        <v>0.27083333333333331</v>
      </c>
      <c r="H56" s="24">
        <f t="shared" si="2"/>
        <v>0.29166666666666669</v>
      </c>
      <c r="I56" s="8">
        <f t="shared" si="3"/>
        <v>2.083333333333337E-2</v>
      </c>
      <c r="J56" s="24">
        <v>0.2638888888888889</v>
      </c>
      <c r="K56" s="24">
        <v>0.27291666666666664</v>
      </c>
      <c r="L56" s="24">
        <f t="shared" si="0"/>
        <v>9.0277777777777457E-3</v>
      </c>
      <c r="M56" s="24">
        <v>0.28819444444444442</v>
      </c>
      <c r="N56" s="8">
        <f>+M56-K56</f>
        <v>1.5277777777777779E-2</v>
      </c>
      <c r="O56" s="24">
        <f t="shared" si="1"/>
        <v>2.4305555555555525E-2</v>
      </c>
      <c r="P56" s="22">
        <v>3</v>
      </c>
      <c r="Q56" s="25" t="s">
        <v>51</v>
      </c>
      <c r="R56" s="22" t="str">
        <f>IF(COUNTIF(fest!$A$1:$A$18,B56)&gt;0,"FESTIVO", IF(OR(WEEKDAY(B56,2)=6,WEEKDAY(B56,2)=7),"NO HÁBIL","HÁBIL"))</f>
        <v>HÁBIL</v>
      </c>
    </row>
    <row r="57" spans="1:18" ht="15.75" customHeight="1" x14ac:dyDescent="0.2">
      <c r="A57" s="22" t="s">
        <v>43</v>
      </c>
      <c r="B57" s="23">
        <v>46126</v>
      </c>
      <c r="C57" s="6" t="s">
        <v>15</v>
      </c>
      <c r="D57" s="6" t="s">
        <v>12</v>
      </c>
      <c r="E57" s="6" t="s">
        <v>13</v>
      </c>
      <c r="F57" s="6" t="s">
        <v>14</v>
      </c>
      <c r="G57" s="24">
        <v>0.29166666666666669</v>
      </c>
      <c r="H57" s="24">
        <f t="shared" si="2"/>
        <v>0.3125</v>
      </c>
      <c r="I57" s="8">
        <f t="shared" si="3"/>
        <v>2.0833333333333315E-2</v>
      </c>
      <c r="J57" s="24">
        <v>0.28819444444444442</v>
      </c>
      <c r="K57" s="24">
        <v>0.29652777777777778</v>
      </c>
      <c r="L57" s="24">
        <f t="shared" si="0"/>
        <v>8.3333333333333592E-3</v>
      </c>
      <c r="M57" s="24">
        <v>0.31527777777777777</v>
      </c>
      <c r="N57" s="8">
        <f>+M57-K57</f>
        <v>1.8749999999999989E-2</v>
      </c>
      <c r="O57" s="24">
        <f t="shared" si="1"/>
        <v>2.7083333333333348E-2</v>
      </c>
      <c r="P57" s="22">
        <v>4</v>
      </c>
      <c r="Q57" s="25" t="s">
        <v>51</v>
      </c>
      <c r="R57" s="22" t="str">
        <f>IF(COUNTIF(fest!$A$1:$A$18,B57)&gt;0,"FESTIVO", IF(OR(WEEKDAY(B57,2)=6,WEEKDAY(B57,2)=7),"NO HÁBIL","HÁBIL"))</f>
        <v>HÁBIL</v>
      </c>
    </row>
    <row r="58" spans="1:18" ht="15.75" customHeight="1" x14ac:dyDescent="0.2">
      <c r="A58" s="22" t="s">
        <v>43</v>
      </c>
      <c r="B58" s="23">
        <v>46126</v>
      </c>
      <c r="C58" s="6" t="s">
        <v>16</v>
      </c>
      <c r="D58" s="6" t="s">
        <v>12</v>
      </c>
      <c r="E58" s="6" t="s">
        <v>13</v>
      </c>
      <c r="F58" s="6" t="s">
        <v>14</v>
      </c>
      <c r="G58" s="24">
        <v>0.3125</v>
      </c>
      <c r="H58" s="24">
        <f t="shared" si="2"/>
        <v>0.71527777777777779</v>
      </c>
      <c r="I58" s="8">
        <f t="shared" si="3"/>
        <v>0.40277777777777779</v>
      </c>
      <c r="J58" s="24">
        <v>0.31527777777777777</v>
      </c>
      <c r="K58" s="24">
        <v>0.31805555555555554</v>
      </c>
      <c r="L58" s="24">
        <f t="shared" si="0"/>
        <v>2.7777777777777679E-3</v>
      </c>
      <c r="M58" s="24">
        <f>+K58+N58</f>
        <v>0.33506944444444442</v>
      </c>
      <c r="N58" s="8">
        <f>AVERAGE(N56:N57)</f>
        <v>1.7013888888888884E-2</v>
      </c>
      <c r="O58" s="24">
        <f t="shared" si="1"/>
        <v>1.9791666666666652E-2</v>
      </c>
      <c r="P58" s="22">
        <v>2</v>
      </c>
      <c r="Q58" s="25" t="s">
        <v>51</v>
      </c>
      <c r="R58" s="22" t="str">
        <f>IF(COUNTIF(fest!$A$1:$A$18,B58)&gt;0,"FESTIVO", IF(OR(WEEKDAY(B58,2)=6,WEEKDAY(B58,2)=7),"NO HÁBIL","HÁBIL"))</f>
        <v>HÁBIL</v>
      </c>
    </row>
    <row r="59" spans="1:18" ht="15.75" customHeight="1" x14ac:dyDescent="0.2">
      <c r="A59" s="22" t="s">
        <v>44</v>
      </c>
      <c r="B59" s="23">
        <v>46126</v>
      </c>
      <c r="C59" s="6" t="s">
        <v>11</v>
      </c>
      <c r="D59" s="6" t="s">
        <v>17</v>
      </c>
      <c r="E59" s="6" t="s">
        <v>14</v>
      </c>
      <c r="F59" s="6" t="s">
        <v>13</v>
      </c>
      <c r="G59" s="24">
        <v>0.71527777777777779</v>
      </c>
      <c r="H59" s="24">
        <f t="shared" si="2"/>
        <v>0.73958333333333337</v>
      </c>
      <c r="I59" s="8">
        <f t="shared" si="3"/>
        <v>2.430555555555558E-2</v>
      </c>
      <c r="J59" s="24">
        <v>0.70833333333333337</v>
      </c>
      <c r="K59" s="24">
        <v>0.71805555555555556</v>
      </c>
      <c r="L59" s="24">
        <f t="shared" si="0"/>
        <v>9.7222222222221877E-3</v>
      </c>
      <c r="M59" s="24">
        <v>0.75624999999999998</v>
      </c>
      <c r="N59" s="8">
        <f>+M59-K59</f>
        <v>3.819444444444442E-2</v>
      </c>
      <c r="O59" s="24">
        <f t="shared" si="1"/>
        <v>4.7916666666666607E-2</v>
      </c>
      <c r="P59" s="22">
        <v>6</v>
      </c>
      <c r="Q59" s="25" t="s">
        <v>48</v>
      </c>
      <c r="R59" s="22" t="str">
        <f>IF(COUNTIF(fest!$A$1:$A$18,B59)&gt;0,"FESTIVO", IF(OR(WEEKDAY(B59,2)=6,WEEKDAY(B59,2)=7),"NO HÁBIL","HÁBIL"))</f>
        <v>HÁBIL</v>
      </c>
    </row>
    <row r="60" spans="1:18" ht="15.75" customHeight="1" x14ac:dyDescent="0.2">
      <c r="A60" s="22" t="s">
        <v>44</v>
      </c>
      <c r="B60" s="23">
        <v>46126</v>
      </c>
      <c r="C60" s="6" t="s">
        <v>15</v>
      </c>
      <c r="D60" s="6" t="s">
        <v>17</v>
      </c>
      <c r="E60" s="6" t="s">
        <v>14</v>
      </c>
      <c r="F60" s="6" t="s">
        <v>13</v>
      </c>
      <c r="G60" s="24">
        <v>0.73958333333333337</v>
      </c>
      <c r="H60" s="24">
        <f t="shared" si="2"/>
        <v>0.76388888888888884</v>
      </c>
      <c r="I60" s="8">
        <f t="shared" si="3"/>
        <v>2.4305555555555469E-2</v>
      </c>
      <c r="J60" s="24">
        <v>0</v>
      </c>
      <c r="K60" s="24">
        <v>0</v>
      </c>
      <c r="L60" s="24">
        <f t="shared" ref="L60" si="4">+K60-J60</f>
        <v>0</v>
      </c>
      <c r="M60" s="24">
        <v>0</v>
      </c>
      <c r="N60" s="8">
        <f>+M60-K60</f>
        <v>0</v>
      </c>
      <c r="O60" s="24">
        <f t="shared" ref="O60" si="5">+L60+N60</f>
        <v>0</v>
      </c>
      <c r="P60" s="22">
        <v>0</v>
      </c>
      <c r="Q60" s="25" t="s">
        <v>46</v>
      </c>
      <c r="R60" s="22" t="str">
        <f>IF(COUNTIF(fest!$A$1:$A$18,B60)&gt;0,"FESTIVO", IF(OR(WEEKDAY(B60,2)=6,WEEKDAY(B60,2)=7),"NO HÁBIL","HÁBIL"))</f>
        <v>HÁBIL</v>
      </c>
    </row>
    <row r="61" spans="1:18" ht="15.75" customHeight="1" x14ac:dyDescent="0.2">
      <c r="A61" s="22" t="s">
        <v>44</v>
      </c>
      <c r="B61" s="23">
        <v>46126</v>
      </c>
      <c r="C61" s="6" t="s">
        <v>16</v>
      </c>
      <c r="D61" s="6" t="s">
        <v>17</v>
      </c>
      <c r="E61" s="6" t="s">
        <v>14</v>
      </c>
      <c r="F61" s="6" t="s">
        <v>13</v>
      </c>
      <c r="G61" s="24">
        <v>0.76388888888888884</v>
      </c>
      <c r="H61" s="24">
        <f t="shared" si="2"/>
        <v>0.27083333333333331</v>
      </c>
      <c r="I61" s="8">
        <f t="shared" si="3"/>
        <v>-0.49305555555555552</v>
      </c>
      <c r="J61" s="24">
        <v>0.75</v>
      </c>
      <c r="K61" s="24">
        <v>0.76527777777777772</v>
      </c>
      <c r="L61" s="24">
        <f t="shared" si="0"/>
        <v>1.5277777777777724E-2</v>
      </c>
      <c r="M61" s="24">
        <f>+K61+N61</f>
        <v>0.78437499999999993</v>
      </c>
      <c r="N61" s="8">
        <f>AVERAGE(N59:N60)</f>
        <v>1.909722222222221E-2</v>
      </c>
      <c r="O61" s="24">
        <f t="shared" si="1"/>
        <v>3.4374999999999933E-2</v>
      </c>
      <c r="P61" s="22">
        <v>10</v>
      </c>
      <c r="Q61" s="25" t="s">
        <v>48</v>
      </c>
      <c r="R61" s="22" t="str">
        <f>IF(COUNTIF(fest!$A$1:$A$18,B61)&gt;0,"FESTIVO", IF(OR(WEEKDAY(B61,2)=6,WEEKDAY(B61,2)=7),"NO HÁBIL","HÁBIL"))</f>
        <v>HÁBIL</v>
      </c>
    </row>
    <row r="62" spans="1:18" ht="15.75" customHeight="1" x14ac:dyDescent="0.2">
      <c r="A62" s="22" t="s">
        <v>43</v>
      </c>
      <c r="B62" s="23">
        <v>46127</v>
      </c>
      <c r="C62" s="6" t="s">
        <v>11</v>
      </c>
      <c r="D62" s="6" t="s">
        <v>12</v>
      </c>
      <c r="E62" s="6" t="s">
        <v>13</v>
      </c>
      <c r="F62" s="6" t="s">
        <v>14</v>
      </c>
      <c r="G62" s="24">
        <v>0.27083333333333331</v>
      </c>
      <c r="H62" s="24">
        <f t="shared" si="2"/>
        <v>0.29166666666666669</v>
      </c>
      <c r="I62" s="8">
        <f t="shared" si="3"/>
        <v>2.083333333333337E-2</v>
      </c>
      <c r="J62" s="24">
        <v>0.26319444444444445</v>
      </c>
      <c r="K62" s="24">
        <v>0.27291666666666664</v>
      </c>
      <c r="L62" s="24">
        <f t="shared" si="0"/>
        <v>9.7222222222221877E-3</v>
      </c>
      <c r="M62" s="24">
        <v>0.28749999999999998</v>
      </c>
      <c r="N62" s="8">
        <f>+M62-K62</f>
        <v>1.4583333333333337E-2</v>
      </c>
      <c r="O62" s="24">
        <f t="shared" si="1"/>
        <v>2.4305555555555525E-2</v>
      </c>
      <c r="P62" s="22">
        <v>1</v>
      </c>
      <c r="Q62" s="25" t="s">
        <v>51</v>
      </c>
      <c r="R62" s="22" t="str">
        <f>IF(COUNTIF(fest!$A$1:$A$18,B62)&gt;0,"FESTIVO", IF(OR(WEEKDAY(B62,2)=6,WEEKDAY(B62,2)=7),"NO HÁBIL","HÁBIL"))</f>
        <v>HÁBIL</v>
      </c>
    </row>
    <row r="63" spans="1:18" ht="15.75" customHeight="1" x14ac:dyDescent="0.2">
      <c r="A63" s="22" t="s">
        <v>43</v>
      </c>
      <c r="B63" s="23">
        <v>46127</v>
      </c>
      <c r="C63" s="6" t="s">
        <v>15</v>
      </c>
      <c r="D63" s="6" t="s">
        <v>12</v>
      </c>
      <c r="E63" s="6" t="s">
        <v>13</v>
      </c>
      <c r="F63" s="6" t="s">
        <v>14</v>
      </c>
      <c r="G63" s="24">
        <v>0.29166666666666669</v>
      </c>
      <c r="H63" s="24">
        <f t="shared" si="2"/>
        <v>0.3125</v>
      </c>
      <c r="I63" s="8">
        <f t="shared" si="3"/>
        <v>2.0833333333333315E-2</v>
      </c>
      <c r="J63" s="24">
        <v>0.28749999999999998</v>
      </c>
      <c r="K63" s="24">
        <v>0.29375000000000001</v>
      </c>
      <c r="L63" s="24">
        <f t="shared" si="0"/>
        <v>6.2500000000000333E-3</v>
      </c>
      <c r="M63" s="24">
        <v>0.31041666666666667</v>
      </c>
      <c r="N63" s="8">
        <f>+M63-K63</f>
        <v>1.6666666666666663E-2</v>
      </c>
      <c r="O63" s="24">
        <f t="shared" si="1"/>
        <v>2.2916666666666696E-2</v>
      </c>
      <c r="P63" s="22">
        <v>5</v>
      </c>
      <c r="Q63" s="25" t="s">
        <v>51</v>
      </c>
      <c r="R63" s="22" t="str">
        <f>IF(COUNTIF(fest!$A$1:$A$18,B63)&gt;0,"FESTIVO", IF(OR(WEEKDAY(B63,2)=6,WEEKDAY(B63,2)=7),"NO HÁBIL","HÁBIL"))</f>
        <v>HÁBIL</v>
      </c>
    </row>
    <row r="64" spans="1:18" ht="15.75" customHeight="1" x14ac:dyDescent="0.2">
      <c r="A64" s="22" t="s">
        <v>43</v>
      </c>
      <c r="B64" s="23">
        <v>46127</v>
      </c>
      <c r="C64" s="6" t="s">
        <v>16</v>
      </c>
      <c r="D64" s="6" t="s">
        <v>12</v>
      </c>
      <c r="E64" s="6" t="s">
        <v>13</v>
      </c>
      <c r="F64" s="6" t="s">
        <v>14</v>
      </c>
      <c r="G64" s="24">
        <v>0.3125</v>
      </c>
      <c r="H64" s="24">
        <f t="shared" si="2"/>
        <v>0.71527777777777779</v>
      </c>
      <c r="I64" s="8">
        <f t="shared" si="3"/>
        <v>0.40277777777777779</v>
      </c>
      <c r="J64" s="24">
        <v>0.31041666666666667</v>
      </c>
      <c r="K64" s="24">
        <v>0.31527777777777777</v>
      </c>
      <c r="L64" s="24">
        <f t="shared" si="0"/>
        <v>4.8611111111110938E-3</v>
      </c>
      <c r="M64" s="24">
        <f>+K64+N64</f>
        <v>0.33090277777777777</v>
      </c>
      <c r="N64" s="8">
        <f>AVERAGE(N62:N63)</f>
        <v>1.5625E-2</v>
      </c>
      <c r="O64" s="24">
        <f t="shared" si="1"/>
        <v>2.0486111111111094E-2</v>
      </c>
      <c r="P64" s="22">
        <v>4</v>
      </c>
      <c r="Q64" s="25" t="s">
        <v>51</v>
      </c>
      <c r="R64" s="22" t="str">
        <f>IF(COUNTIF(fest!$A$1:$A$18,B64)&gt;0,"FESTIVO", IF(OR(WEEKDAY(B64,2)=6,WEEKDAY(B64,2)=7),"NO HÁBIL","HÁBIL"))</f>
        <v>HÁBIL</v>
      </c>
    </row>
    <row r="65" spans="1:18" ht="15.75" customHeight="1" x14ac:dyDescent="0.2">
      <c r="A65" s="22" t="s">
        <v>44</v>
      </c>
      <c r="B65" s="23">
        <v>46127</v>
      </c>
      <c r="C65" s="6" t="s">
        <v>11</v>
      </c>
      <c r="D65" s="6" t="s">
        <v>17</v>
      </c>
      <c r="E65" s="6" t="s">
        <v>14</v>
      </c>
      <c r="F65" s="6" t="s">
        <v>13</v>
      </c>
      <c r="G65" s="24">
        <v>0.71527777777777779</v>
      </c>
      <c r="H65" s="24">
        <f t="shared" si="2"/>
        <v>0.73958333333333337</v>
      </c>
      <c r="I65" s="8">
        <f t="shared" si="3"/>
        <v>2.430555555555558E-2</v>
      </c>
      <c r="J65" s="24">
        <v>0.70902777777777781</v>
      </c>
      <c r="K65" s="24">
        <v>0.71736111111111112</v>
      </c>
      <c r="L65" s="24">
        <f t="shared" si="0"/>
        <v>8.3333333333333037E-3</v>
      </c>
      <c r="M65" s="24">
        <v>0.75624999999999998</v>
      </c>
      <c r="N65" s="8">
        <f>+M65-K65</f>
        <v>3.8888888888888862E-2</v>
      </c>
      <c r="O65" s="24">
        <f t="shared" si="1"/>
        <v>4.7222222222222165E-2</v>
      </c>
      <c r="P65" s="22">
        <v>3</v>
      </c>
      <c r="Q65" s="25" t="s">
        <v>48</v>
      </c>
      <c r="R65" s="22" t="str">
        <f>IF(COUNTIF(fest!$A$1:$A$18,B65)&gt;0,"FESTIVO", IF(OR(WEEKDAY(B65,2)=6,WEEKDAY(B65,2)=7),"NO HÁBIL","HÁBIL"))</f>
        <v>HÁBIL</v>
      </c>
    </row>
    <row r="66" spans="1:18" ht="15.75" customHeight="1" x14ac:dyDescent="0.2">
      <c r="A66" s="22" t="s">
        <v>44</v>
      </c>
      <c r="B66" s="23">
        <v>46127</v>
      </c>
      <c r="C66" s="6" t="s">
        <v>15</v>
      </c>
      <c r="D66" s="6" t="s">
        <v>17</v>
      </c>
      <c r="E66" s="6" t="s">
        <v>14</v>
      </c>
      <c r="F66" s="6" t="s">
        <v>13</v>
      </c>
      <c r="G66" s="24">
        <v>0.73958333333333337</v>
      </c>
      <c r="H66" s="24">
        <f t="shared" si="2"/>
        <v>0.76388888888888884</v>
      </c>
      <c r="I66" s="8">
        <f t="shared" si="3"/>
        <v>2.4305555555555469E-2</v>
      </c>
      <c r="J66" s="24">
        <v>0</v>
      </c>
      <c r="K66" s="24">
        <v>0</v>
      </c>
      <c r="L66" s="24">
        <f t="shared" ref="L66" si="6">+K66-J66</f>
        <v>0</v>
      </c>
      <c r="M66" s="24">
        <v>0</v>
      </c>
      <c r="N66" s="8">
        <f>+M66-K66</f>
        <v>0</v>
      </c>
      <c r="O66" s="24">
        <f t="shared" ref="O66" si="7">+L66+N66</f>
        <v>0</v>
      </c>
      <c r="P66" s="22">
        <v>0</v>
      </c>
      <c r="Q66" s="25" t="s">
        <v>46</v>
      </c>
      <c r="R66" s="22" t="str">
        <f>IF(COUNTIF(fest!$A$1:$A$18,B66)&gt;0,"FESTIVO", IF(OR(WEEKDAY(B66,2)=6,WEEKDAY(B66,2)=7),"NO HÁBIL","HÁBIL"))</f>
        <v>HÁBIL</v>
      </c>
    </row>
    <row r="67" spans="1:18" ht="15.75" customHeight="1" x14ac:dyDescent="0.2">
      <c r="A67" s="22" t="s">
        <v>44</v>
      </c>
      <c r="B67" s="23">
        <v>46127</v>
      </c>
      <c r="C67" s="6" t="s">
        <v>16</v>
      </c>
      <c r="D67" s="6" t="s">
        <v>17</v>
      </c>
      <c r="E67" s="6" t="s">
        <v>14</v>
      </c>
      <c r="F67" s="6" t="s">
        <v>13</v>
      </c>
      <c r="G67" s="24">
        <v>0.76388888888888884</v>
      </c>
      <c r="H67" s="24">
        <f t="shared" ref="H67:H130" si="8">+G67+I67</f>
        <v>0.27083333333333331</v>
      </c>
      <c r="I67" s="8">
        <f t="shared" ref="I67:I130" si="9">+G68-G67</f>
        <v>-0.49305555555555552</v>
      </c>
      <c r="J67" s="24">
        <v>0.75624999999999998</v>
      </c>
      <c r="K67" s="24">
        <v>0.76597222222222228</v>
      </c>
      <c r="L67" s="24">
        <f t="shared" ref="L66:L129" si="10">+K67-J67</f>
        <v>9.7222222222222987E-3</v>
      </c>
      <c r="M67" s="24">
        <f>+K67+N67</f>
        <v>0.78541666666666665</v>
      </c>
      <c r="N67" s="8">
        <f>AVERAGE(N65:N66)</f>
        <v>1.9444444444444431E-2</v>
      </c>
      <c r="O67" s="24">
        <f t="shared" ref="O66:O129" si="11">+L67+N67</f>
        <v>2.916666666666673E-2</v>
      </c>
      <c r="P67" s="22">
        <v>4</v>
      </c>
      <c r="Q67" s="25" t="s">
        <v>48</v>
      </c>
      <c r="R67" s="22" t="str">
        <f>IF(COUNTIF(fest!$A$1:$A$18,B67)&gt;0,"FESTIVO", IF(OR(WEEKDAY(B67,2)=6,WEEKDAY(B67,2)=7),"NO HÁBIL","HÁBIL"))</f>
        <v>HÁBIL</v>
      </c>
    </row>
    <row r="68" spans="1:18" ht="15.75" customHeight="1" x14ac:dyDescent="0.2">
      <c r="A68" s="22" t="s">
        <v>43</v>
      </c>
      <c r="B68" s="23">
        <v>46128</v>
      </c>
      <c r="C68" s="6" t="s">
        <v>11</v>
      </c>
      <c r="D68" s="6" t="s">
        <v>12</v>
      </c>
      <c r="E68" s="6" t="s">
        <v>13</v>
      </c>
      <c r="F68" s="6" t="s">
        <v>14</v>
      </c>
      <c r="G68" s="24">
        <v>0.27083333333333331</v>
      </c>
      <c r="H68" s="24">
        <f t="shared" si="8"/>
        <v>0.29166666666666669</v>
      </c>
      <c r="I68" s="8">
        <f t="shared" si="9"/>
        <v>2.083333333333337E-2</v>
      </c>
      <c r="J68" s="24">
        <v>0.2638888888888889</v>
      </c>
      <c r="K68" s="24">
        <v>0.27430555555555558</v>
      </c>
      <c r="L68" s="24">
        <f t="shared" si="10"/>
        <v>1.0416666666666685E-2</v>
      </c>
      <c r="M68" s="24">
        <v>0.28819444444444442</v>
      </c>
      <c r="N68" s="8">
        <f>+M68-K68</f>
        <v>1.388888888888884E-2</v>
      </c>
      <c r="O68" s="24">
        <f t="shared" si="11"/>
        <v>2.4305555555555525E-2</v>
      </c>
      <c r="P68" s="22">
        <v>3</v>
      </c>
      <c r="Q68" s="25" t="s">
        <v>51</v>
      </c>
      <c r="R68" s="22" t="str">
        <f>IF(COUNTIF(fest!$A$1:$A$18,B68)&gt;0,"FESTIVO", IF(OR(WEEKDAY(B68,2)=6,WEEKDAY(B68,2)=7),"NO HÁBIL","HÁBIL"))</f>
        <v>HÁBIL</v>
      </c>
    </row>
    <row r="69" spans="1:18" ht="15.75" customHeight="1" x14ac:dyDescent="0.2">
      <c r="A69" s="22" t="s">
        <v>43</v>
      </c>
      <c r="B69" s="23">
        <v>46128</v>
      </c>
      <c r="C69" s="6" t="s">
        <v>15</v>
      </c>
      <c r="D69" s="6" t="s">
        <v>12</v>
      </c>
      <c r="E69" s="6" t="s">
        <v>13</v>
      </c>
      <c r="F69" s="6" t="s">
        <v>14</v>
      </c>
      <c r="G69" s="24">
        <v>0.29166666666666669</v>
      </c>
      <c r="H69" s="24">
        <f t="shared" si="8"/>
        <v>0.3125</v>
      </c>
      <c r="I69" s="8">
        <f t="shared" si="9"/>
        <v>2.0833333333333315E-2</v>
      </c>
      <c r="J69" s="24">
        <v>0.28819444444444442</v>
      </c>
      <c r="K69" s="24">
        <v>0.29583333333333334</v>
      </c>
      <c r="L69" s="24">
        <f t="shared" si="10"/>
        <v>7.6388888888889173E-3</v>
      </c>
      <c r="M69" s="24">
        <v>0.31180555555555556</v>
      </c>
      <c r="N69" s="8">
        <f>+M69-K69</f>
        <v>1.5972222222222221E-2</v>
      </c>
      <c r="O69" s="24">
        <f t="shared" si="11"/>
        <v>2.3611111111111138E-2</v>
      </c>
      <c r="P69" s="22">
        <v>5</v>
      </c>
      <c r="Q69" s="25" t="s">
        <v>51</v>
      </c>
      <c r="R69" s="22" t="str">
        <f>IF(COUNTIF(fest!$A$1:$A$18,B69)&gt;0,"FESTIVO", IF(OR(WEEKDAY(B69,2)=6,WEEKDAY(B69,2)=7),"NO HÁBIL","HÁBIL"))</f>
        <v>HÁBIL</v>
      </c>
    </row>
    <row r="70" spans="1:18" ht="15.75" customHeight="1" x14ac:dyDescent="0.2">
      <c r="A70" s="22" t="s">
        <v>43</v>
      </c>
      <c r="B70" s="23">
        <v>46128</v>
      </c>
      <c r="C70" s="6" t="s">
        <v>16</v>
      </c>
      <c r="D70" s="6" t="s">
        <v>12</v>
      </c>
      <c r="E70" s="6" t="s">
        <v>13</v>
      </c>
      <c r="F70" s="6" t="s">
        <v>14</v>
      </c>
      <c r="G70" s="24">
        <v>0.3125</v>
      </c>
      <c r="H70" s="24">
        <f t="shared" si="8"/>
        <v>0.71527777777777779</v>
      </c>
      <c r="I70" s="8">
        <f t="shared" si="9"/>
        <v>0.40277777777777779</v>
      </c>
      <c r="J70" s="24">
        <v>0.31180555555555556</v>
      </c>
      <c r="K70" s="24">
        <v>0.31666666666666665</v>
      </c>
      <c r="L70" s="24">
        <f t="shared" si="10"/>
        <v>4.8611111111110938E-3</v>
      </c>
      <c r="M70" s="24">
        <f ca="1">+K70+N70</f>
        <v>0.33159722222222221</v>
      </c>
      <c r="N70" s="8">
        <f ca="1">+M70-K70</f>
        <v>1.5972222222222221E-2</v>
      </c>
      <c r="O70" s="24">
        <f t="shared" ca="1" si="11"/>
        <v>1.9791666666666624E-2</v>
      </c>
      <c r="P70" s="22">
        <v>2</v>
      </c>
      <c r="Q70" s="25" t="s">
        <v>51</v>
      </c>
      <c r="R70" s="22" t="str">
        <f>IF(COUNTIF(fest!$A$1:$A$18,B70)&gt;0,"FESTIVO", IF(OR(WEEKDAY(B70,2)=6,WEEKDAY(B70,2)=7),"NO HÁBIL","HÁBIL"))</f>
        <v>HÁBIL</v>
      </c>
    </row>
    <row r="71" spans="1:18" ht="15.75" customHeight="1" x14ac:dyDescent="0.2">
      <c r="A71" s="22" t="s">
        <v>44</v>
      </c>
      <c r="B71" s="23">
        <v>46128</v>
      </c>
      <c r="C71" s="6" t="s">
        <v>11</v>
      </c>
      <c r="D71" s="6" t="s">
        <v>17</v>
      </c>
      <c r="E71" s="6" t="s">
        <v>14</v>
      </c>
      <c r="F71" s="6" t="s">
        <v>13</v>
      </c>
      <c r="G71" s="24">
        <v>0.71527777777777779</v>
      </c>
      <c r="H71" s="24">
        <f t="shared" si="8"/>
        <v>0.73958333333333337</v>
      </c>
      <c r="I71" s="8">
        <f t="shared" si="9"/>
        <v>2.430555555555558E-2</v>
      </c>
      <c r="J71" s="24">
        <v>0.70902777777777781</v>
      </c>
      <c r="K71" s="24">
        <v>0.71666666666666667</v>
      </c>
      <c r="L71" s="24">
        <f t="shared" si="10"/>
        <v>7.6388888888888618E-3</v>
      </c>
      <c r="M71" s="24">
        <v>0.74305555555555558</v>
      </c>
      <c r="N71" s="8">
        <f>+M71-K71</f>
        <v>2.6388888888888906E-2</v>
      </c>
      <c r="O71" s="24">
        <f t="shared" si="11"/>
        <v>3.4027777777777768E-2</v>
      </c>
      <c r="P71" s="22">
        <v>10</v>
      </c>
      <c r="Q71" s="25" t="s">
        <v>48</v>
      </c>
      <c r="R71" s="22" t="str">
        <f>IF(COUNTIF(fest!$A$1:$A$18,B71)&gt;0,"FESTIVO", IF(OR(WEEKDAY(B71,2)=6,WEEKDAY(B71,2)=7),"NO HÁBIL","HÁBIL"))</f>
        <v>HÁBIL</v>
      </c>
    </row>
    <row r="72" spans="1:18" ht="15.75" customHeight="1" x14ac:dyDescent="0.2">
      <c r="A72" s="22" t="s">
        <v>44</v>
      </c>
      <c r="B72" s="23">
        <v>46128</v>
      </c>
      <c r="C72" s="6" t="s">
        <v>15</v>
      </c>
      <c r="D72" s="6" t="s">
        <v>17</v>
      </c>
      <c r="E72" s="6" t="s">
        <v>14</v>
      </c>
      <c r="F72" s="6" t="s">
        <v>13</v>
      </c>
      <c r="G72" s="24">
        <v>0.73958333333333337</v>
      </c>
      <c r="H72" s="24">
        <f t="shared" si="8"/>
        <v>0.76388888888888884</v>
      </c>
      <c r="I72" s="8">
        <f t="shared" si="9"/>
        <v>2.4305555555555469E-2</v>
      </c>
      <c r="J72" s="24">
        <v>0.74305555555555558</v>
      </c>
      <c r="K72" s="24">
        <v>0.74791666666666667</v>
      </c>
      <c r="L72" s="24">
        <f t="shared" si="10"/>
        <v>4.8611111111110938E-3</v>
      </c>
      <c r="M72" s="24">
        <v>0.76041666666666663</v>
      </c>
      <c r="N72" s="8">
        <f>+M72-K72</f>
        <v>1.2499999999999956E-2</v>
      </c>
      <c r="O72" s="24">
        <f t="shared" si="11"/>
        <v>1.7361111111111049E-2</v>
      </c>
      <c r="P72" s="22">
        <v>0</v>
      </c>
      <c r="Q72" s="25" t="s">
        <v>45</v>
      </c>
      <c r="R72" s="22" t="str">
        <f>IF(COUNTIF(fest!$A$1:$A$18,B72)&gt;0,"FESTIVO", IF(OR(WEEKDAY(B72,2)=6,WEEKDAY(B72,2)=7),"NO HÁBIL","HÁBIL"))</f>
        <v>HÁBIL</v>
      </c>
    </row>
    <row r="73" spans="1:18" ht="15.75" customHeight="1" x14ac:dyDescent="0.2">
      <c r="A73" s="22" t="s">
        <v>44</v>
      </c>
      <c r="B73" s="23">
        <v>46128</v>
      </c>
      <c r="C73" s="6" t="s">
        <v>16</v>
      </c>
      <c r="D73" s="6" t="s">
        <v>17</v>
      </c>
      <c r="E73" s="6" t="s">
        <v>14</v>
      </c>
      <c r="F73" s="6" t="s">
        <v>13</v>
      </c>
      <c r="G73" s="24">
        <v>0.76388888888888884</v>
      </c>
      <c r="H73" s="24">
        <f t="shared" si="8"/>
        <v>0.27083333333333331</v>
      </c>
      <c r="I73" s="8">
        <f t="shared" si="9"/>
        <v>-0.49305555555555552</v>
      </c>
      <c r="J73" s="24">
        <v>0.76041666666666663</v>
      </c>
      <c r="K73" s="24">
        <v>0.76597222222222228</v>
      </c>
      <c r="L73" s="24">
        <f t="shared" si="10"/>
        <v>5.5555555555556468E-3</v>
      </c>
      <c r="M73" s="24">
        <f>+K73+N73</f>
        <v>0.78541666666666665</v>
      </c>
      <c r="N73" s="8">
        <f>AVERAGE(N71:N72)</f>
        <v>1.9444444444444431E-2</v>
      </c>
      <c r="O73" s="24">
        <f t="shared" si="11"/>
        <v>2.5000000000000078E-2</v>
      </c>
      <c r="P73" s="22">
        <v>4</v>
      </c>
      <c r="Q73" s="25" t="s">
        <v>48</v>
      </c>
      <c r="R73" s="22" t="str">
        <f>IF(COUNTIF(fest!$A$1:$A$18,B73)&gt;0,"FESTIVO", IF(OR(WEEKDAY(B73,2)=6,WEEKDAY(B73,2)=7),"NO HÁBIL","HÁBIL"))</f>
        <v>HÁBIL</v>
      </c>
    </row>
    <row r="74" spans="1:18" ht="15.75" customHeight="1" x14ac:dyDescent="0.2">
      <c r="A74" s="22" t="s">
        <v>43</v>
      </c>
      <c r="B74" s="23">
        <v>46129</v>
      </c>
      <c r="C74" s="6" t="s">
        <v>11</v>
      </c>
      <c r="D74" s="6" t="s">
        <v>12</v>
      </c>
      <c r="E74" s="6" t="s">
        <v>13</v>
      </c>
      <c r="F74" s="6" t="s">
        <v>14</v>
      </c>
      <c r="G74" s="24">
        <v>0.27083333333333331</v>
      </c>
      <c r="H74" s="24">
        <f t="shared" si="8"/>
        <v>0.29166666666666669</v>
      </c>
      <c r="I74" s="8">
        <f t="shared" si="9"/>
        <v>2.083333333333337E-2</v>
      </c>
      <c r="J74" s="24">
        <v>0.2638888888888889</v>
      </c>
      <c r="K74" s="24">
        <v>0.27777777777777779</v>
      </c>
      <c r="L74" s="24">
        <f t="shared" si="10"/>
        <v>1.3888888888888895E-2</v>
      </c>
      <c r="M74" s="24">
        <v>0.29097222222222224</v>
      </c>
      <c r="N74" s="8">
        <f>+M74-K74</f>
        <v>1.3194444444444453E-2</v>
      </c>
      <c r="O74" s="24">
        <f t="shared" si="11"/>
        <v>2.7083333333333348E-2</v>
      </c>
      <c r="P74" s="22">
        <v>0</v>
      </c>
      <c r="Q74" s="25" t="s">
        <v>51</v>
      </c>
      <c r="R74" s="22" t="str">
        <f>IF(COUNTIF(fest!$A$1:$A$18,B74)&gt;0,"FESTIVO", IF(OR(WEEKDAY(B74,2)=6,WEEKDAY(B74,2)=7),"NO HÁBIL","HÁBIL"))</f>
        <v>HÁBIL</v>
      </c>
    </row>
    <row r="75" spans="1:18" ht="15.75" customHeight="1" x14ac:dyDescent="0.2">
      <c r="A75" s="22" t="s">
        <v>43</v>
      </c>
      <c r="B75" s="23">
        <v>46129</v>
      </c>
      <c r="C75" s="6" t="s">
        <v>15</v>
      </c>
      <c r="D75" s="6" t="s">
        <v>12</v>
      </c>
      <c r="E75" s="6" t="s">
        <v>13</v>
      </c>
      <c r="F75" s="6" t="s">
        <v>14</v>
      </c>
      <c r="G75" s="24">
        <v>0.29166666666666669</v>
      </c>
      <c r="H75" s="24">
        <f t="shared" si="8"/>
        <v>0.3125</v>
      </c>
      <c r="I75" s="8">
        <f t="shared" si="9"/>
        <v>2.0833333333333315E-2</v>
      </c>
      <c r="J75" s="24">
        <v>0.29097222222222224</v>
      </c>
      <c r="K75" s="24">
        <v>0.29375000000000001</v>
      </c>
      <c r="L75" s="24">
        <f t="shared" si="10"/>
        <v>2.7777777777777679E-3</v>
      </c>
      <c r="M75" s="24">
        <v>0.30902777777777779</v>
      </c>
      <c r="N75" s="8">
        <f>+M75-K75</f>
        <v>1.5277777777777779E-2</v>
      </c>
      <c r="O75" s="24">
        <f t="shared" si="11"/>
        <v>1.8055555555555547E-2</v>
      </c>
      <c r="P75" s="22">
        <v>5</v>
      </c>
      <c r="Q75" s="25" t="s">
        <v>51</v>
      </c>
      <c r="R75" s="22" t="str">
        <f>IF(COUNTIF(fest!$A$1:$A$18,B75)&gt;0,"FESTIVO", IF(OR(WEEKDAY(B75,2)=6,WEEKDAY(B75,2)=7),"NO HÁBIL","HÁBIL"))</f>
        <v>HÁBIL</v>
      </c>
    </row>
    <row r="76" spans="1:18" ht="15.75" customHeight="1" x14ac:dyDescent="0.2">
      <c r="A76" s="22" t="s">
        <v>43</v>
      </c>
      <c r="B76" s="23">
        <v>46129</v>
      </c>
      <c r="C76" s="6" t="s">
        <v>16</v>
      </c>
      <c r="D76" s="6" t="s">
        <v>12</v>
      </c>
      <c r="E76" s="6" t="s">
        <v>13</v>
      </c>
      <c r="F76" s="6" t="s">
        <v>14</v>
      </c>
      <c r="G76" s="24">
        <v>0.3125</v>
      </c>
      <c r="H76" s="24">
        <f t="shared" si="8"/>
        <v>0.71527777777777779</v>
      </c>
      <c r="I76" s="8">
        <f t="shared" si="9"/>
        <v>0.40277777777777779</v>
      </c>
      <c r="J76" s="24">
        <v>0.30902777777777779</v>
      </c>
      <c r="K76" s="24">
        <v>0.32430555555555557</v>
      </c>
      <c r="L76" s="24">
        <f t="shared" si="10"/>
        <v>1.5277777777777779E-2</v>
      </c>
      <c r="M76" s="24">
        <f>+K76+N76</f>
        <v>0.33854166666666669</v>
      </c>
      <c r="N76" s="8">
        <f>AVERAGE(N74:N75)</f>
        <v>1.4236111111111116E-2</v>
      </c>
      <c r="O76" s="24">
        <f t="shared" si="11"/>
        <v>2.9513888888888895E-2</v>
      </c>
      <c r="P76" s="22">
        <v>0</v>
      </c>
      <c r="Q76" s="25" t="s">
        <v>51</v>
      </c>
      <c r="R76" s="22" t="str">
        <f>IF(COUNTIF(fest!$A$1:$A$18,B76)&gt;0,"FESTIVO", IF(OR(WEEKDAY(B76,2)=6,WEEKDAY(B76,2)=7),"NO HÁBIL","HÁBIL"))</f>
        <v>HÁBIL</v>
      </c>
    </row>
    <row r="77" spans="1:18" ht="15.75" customHeight="1" x14ac:dyDescent="0.2">
      <c r="A77" s="22" t="s">
        <v>44</v>
      </c>
      <c r="B77" s="23">
        <v>46129</v>
      </c>
      <c r="C77" s="6" t="s">
        <v>11</v>
      </c>
      <c r="D77" s="6" t="s">
        <v>17</v>
      </c>
      <c r="E77" s="6" t="s">
        <v>14</v>
      </c>
      <c r="F77" s="6" t="s">
        <v>13</v>
      </c>
      <c r="G77" s="24">
        <v>0.71527777777777779</v>
      </c>
      <c r="H77" s="24">
        <f t="shared" si="8"/>
        <v>0.73958333333333337</v>
      </c>
      <c r="I77" s="8">
        <f t="shared" si="9"/>
        <v>2.430555555555558E-2</v>
      </c>
      <c r="J77" s="24">
        <v>0.66666666666666663</v>
      </c>
      <c r="K77" s="24">
        <v>0.67638888888888893</v>
      </c>
      <c r="L77" s="24">
        <f t="shared" si="10"/>
        <v>9.7222222222222987E-3</v>
      </c>
      <c r="M77" s="24">
        <v>0.68958333333333333</v>
      </c>
      <c r="N77" s="8">
        <f>+M77-K77</f>
        <v>1.3194444444444398E-2</v>
      </c>
      <c r="O77" s="24">
        <f t="shared" si="11"/>
        <v>2.2916666666666696E-2</v>
      </c>
      <c r="P77" s="22">
        <v>0</v>
      </c>
      <c r="Q77" s="25" t="s">
        <v>45</v>
      </c>
      <c r="R77" s="22" t="str">
        <f>IF(COUNTIF(fest!$A$1:$A$18,B77)&gt;0,"FESTIVO", IF(OR(WEEKDAY(B77,2)=6,WEEKDAY(B77,2)=7),"NO HÁBIL","HÁBIL"))</f>
        <v>HÁBIL</v>
      </c>
    </row>
    <row r="78" spans="1:18" ht="15.75" customHeight="1" x14ac:dyDescent="0.2">
      <c r="A78" s="22" t="s">
        <v>44</v>
      </c>
      <c r="B78" s="23">
        <v>46129</v>
      </c>
      <c r="C78" s="6" t="s">
        <v>15</v>
      </c>
      <c r="D78" s="6" t="s">
        <v>17</v>
      </c>
      <c r="E78" s="6" t="s">
        <v>14</v>
      </c>
      <c r="F78" s="6" t="s">
        <v>13</v>
      </c>
      <c r="G78" s="24">
        <v>0.73958333333333337</v>
      </c>
      <c r="H78" s="24">
        <f t="shared" si="8"/>
        <v>0.76388888888888884</v>
      </c>
      <c r="I78" s="8">
        <f t="shared" si="9"/>
        <v>2.4305555555555469E-2</v>
      </c>
      <c r="J78" s="24">
        <v>0.68958333333333333</v>
      </c>
      <c r="K78" s="24">
        <v>0.70486111111111116</v>
      </c>
      <c r="L78" s="24">
        <f t="shared" si="10"/>
        <v>1.5277777777777835E-2</v>
      </c>
      <c r="M78" s="24">
        <v>0.71805555555555556</v>
      </c>
      <c r="N78" s="8">
        <f>+M78-K78</f>
        <v>1.3194444444444398E-2</v>
      </c>
      <c r="O78" s="24">
        <f t="shared" si="11"/>
        <v>2.8472222222222232E-2</v>
      </c>
      <c r="P78" s="22">
        <v>0</v>
      </c>
      <c r="Q78" s="25" t="s">
        <v>45</v>
      </c>
      <c r="R78" s="22" t="str">
        <f>IF(COUNTIF(fest!$A$1:$A$18,B78)&gt;0,"FESTIVO", IF(OR(WEEKDAY(B78,2)=6,WEEKDAY(B78,2)=7),"NO HÁBIL","HÁBIL"))</f>
        <v>HÁBIL</v>
      </c>
    </row>
    <row r="79" spans="1:18" ht="15.75" customHeight="1" x14ac:dyDescent="0.2">
      <c r="A79" s="22" t="s">
        <v>44</v>
      </c>
      <c r="B79" s="23">
        <v>46129</v>
      </c>
      <c r="C79" s="6" t="s">
        <v>16</v>
      </c>
      <c r="D79" s="6" t="s">
        <v>17</v>
      </c>
      <c r="E79" s="6" t="s">
        <v>14</v>
      </c>
      <c r="F79" s="6" t="s">
        <v>13</v>
      </c>
      <c r="G79" s="24">
        <v>0.76388888888888884</v>
      </c>
      <c r="H79" s="24">
        <f t="shared" si="8"/>
        <v>0.27083333333333331</v>
      </c>
      <c r="I79" s="8">
        <f t="shared" si="9"/>
        <v>-0.49305555555555552</v>
      </c>
      <c r="J79" s="24">
        <v>0.71805555555555556</v>
      </c>
      <c r="K79" s="24">
        <v>0.72499999999999998</v>
      </c>
      <c r="L79" s="24">
        <f t="shared" si="10"/>
        <v>6.9444444444444198E-3</v>
      </c>
      <c r="M79" s="24">
        <f>+K79+N79</f>
        <v>0.73819444444444438</v>
      </c>
      <c r="N79" s="8">
        <f>AVERAGE(N77:N78)</f>
        <v>1.3194444444444398E-2</v>
      </c>
      <c r="O79" s="24">
        <f t="shared" si="11"/>
        <v>2.0138888888888817E-2</v>
      </c>
      <c r="P79" s="22">
        <v>11</v>
      </c>
      <c r="Q79" s="25" t="s">
        <v>48</v>
      </c>
      <c r="R79" s="22" t="str">
        <f>IF(COUNTIF(fest!$A$1:$A$18,B79)&gt;0,"FESTIVO", IF(OR(WEEKDAY(B79,2)=6,WEEKDAY(B79,2)=7),"NO HÁBIL","HÁBIL"))</f>
        <v>HÁBIL</v>
      </c>
    </row>
    <row r="80" spans="1:18" ht="15.75" customHeight="1" x14ac:dyDescent="0.2">
      <c r="A80" s="22" t="s">
        <v>43</v>
      </c>
      <c r="B80" s="23">
        <v>46132</v>
      </c>
      <c r="C80" s="6" t="s">
        <v>11</v>
      </c>
      <c r="D80" s="6" t="s">
        <v>12</v>
      </c>
      <c r="E80" s="6" t="s">
        <v>13</v>
      </c>
      <c r="F80" s="6" t="s">
        <v>14</v>
      </c>
      <c r="G80" s="24">
        <v>0.27083333333333331</v>
      </c>
      <c r="H80" s="24">
        <f t="shared" si="8"/>
        <v>0.29166666666666669</v>
      </c>
      <c r="I80" s="8">
        <f t="shared" si="9"/>
        <v>2.083333333333337E-2</v>
      </c>
      <c r="J80" s="24">
        <v>0.2638888888888889</v>
      </c>
      <c r="K80" s="24">
        <v>0.27500000000000002</v>
      </c>
      <c r="L80" s="24">
        <f t="shared" si="10"/>
        <v>1.1111111111111127E-2</v>
      </c>
      <c r="M80" s="24">
        <v>0.28819444444444442</v>
      </c>
      <c r="N80" s="8">
        <f>+M80-K80</f>
        <v>1.3194444444444398E-2</v>
      </c>
      <c r="O80" s="24">
        <f t="shared" si="11"/>
        <v>2.4305555555555525E-2</v>
      </c>
      <c r="P80" s="22">
        <v>2</v>
      </c>
      <c r="Q80" s="25" t="s">
        <v>51</v>
      </c>
      <c r="R80" s="22" t="str">
        <f>IF(COUNTIF(fest!$A$1:$A$18,B80)&gt;0,"FESTIVO", IF(OR(WEEKDAY(B80,2)=6,WEEKDAY(B80,2)=7),"NO HÁBIL","HÁBIL"))</f>
        <v>HÁBIL</v>
      </c>
    </row>
    <row r="81" spans="1:18" ht="15.75" customHeight="1" x14ac:dyDescent="0.2">
      <c r="A81" s="22" t="s">
        <v>43</v>
      </c>
      <c r="B81" s="23">
        <v>46132</v>
      </c>
      <c r="C81" s="6" t="s">
        <v>15</v>
      </c>
      <c r="D81" s="6" t="s">
        <v>12</v>
      </c>
      <c r="E81" s="6" t="s">
        <v>13</v>
      </c>
      <c r="F81" s="6" t="s">
        <v>14</v>
      </c>
      <c r="G81" s="24">
        <v>0.29166666666666669</v>
      </c>
      <c r="H81" s="24">
        <f t="shared" si="8"/>
        <v>0.3125</v>
      </c>
      <c r="I81" s="8">
        <f t="shared" si="9"/>
        <v>2.0833333333333315E-2</v>
      </c>
      <c r="J81" s="24">
        <v>0.28819444444444442</v>
      </c>
      <c r="K81" s="24">
        <v>0.29444444444444445</v>
      </c>
      <c r="L81" s="24">
        <f t="shared" si="10"/>
        <v>6.2500000000000333E-3</v>
      </c>
      <c r="M81" s="24">
        <v>0.30972222222222223</v>
      </c>
      <c r="N81" s="8">
        <f>+M81-K81</f>
        <v>1.5277777777777779E-2</v>
      </c>
      <c r="O81" s="24">
        <f t="shared" si="11"/>
        <v>2.1527777777777812E-2</v>
      </c>
      <c r="P81" s="22">
        <v>2</v>
      </c>
      <c r="Q81" s="25" t="s">
        <v>51</v>
      </c>
      <c r="R81" s="22" t="str">
        <f>IF(COUNTIF(fest!$A$1:$A$18,B81)&gt;0,"FESTIVO", IF(OR(WEEKDAY(B81,2)=6,WEEKDAY(B81,2)=7),"NO HÁBIL","HÁBIL"))</f>
        <v>HÁBIL</v>
      </c>
    </row>
    <row r="82" spans="1:18" ht="15.75" customHeight="1" x14ac:dyDescent="0.2">
      <c r="A82" s="22" t="s">
        <v>43</v>
      </c>
      <c r="B82" s="23">
        <v>46132</v>
      </c>
      <c r="C82" s="6" t="s">
        <v>16</v>
      </c>
      <c r="D82" s="6" t="s">
        <v>12</v>
      </c>
      <c r="E82" s="6" t="s">
        <v>13</v>
      </c>
      <c r="F82" s="6" t="s">
        <v>14</v>
      </c>
      <c r="G82" s="24">
        <v>0.3125</v>
      </c>
      <c r="H82" s="24">
        <f t="shared" si="8"/>
        <v>0.71527777777777779</v>
      </c>
      <c r="I82" s="8">
        <f t="shared" si="9"/>
        <v>0.40277777777777779</v>
      </c>
      <c r="J82" s="24">
        <v>0.30972222222222223</v>
      </c>
      <c r="K82" s="24">
        <v>0.3215277777777778</v>
      </c>
      <c r="L82" s="24">
        <f t="shared" si="10"/>
        <v>1.1805555555555569E-2</v>
      </c>
      <c r="M82" s="24">
        <f>+K82+N82</f>
        <v>0.33576388888888886</v>
      </c>
      <c r="N82" s="8">
        <f>AVERAGE(N80:N81)</f>
        <v>1.4236111111111088E-2</v>
      </c>
      <c r="O82" s="24">
        <f t="shared" si="11"/>
        <v>2.6041666666666657E-2</v>
      </c>
      <c r="P82" s="22">
        <v>0</v>
      </c>
      <c r="Q82" s="25" t="s">
        <v>51</v>
      </c>
      <c r="R82" s="22" t="str">
        <f>IF(COUNTIF(fest!$A$1:$A$18,B82)&gt;0,"FESTIVO", IF(OR(WEEKDAY(B82,2)=6,WEEKDAY(B82,2)=7),"NO HÁBIL","HÁBIL"))</f>
        <v>HÁBIL</v>
      </c>
    </row>
    <row r="83" spans="1:18" ht="15.75" customHeight="1" x14ac:dyDescent="0.2">
      <c r="A83" s="22" t="s">
        <v>44</v>
      </c>
      <c r="B83" s="23">
        <v>46132</v>
      </c>
      <c r="C83" s="6" t="s">
        <v>11</v>
      </c>
      <c r="D83" s="6" t="s">
        <v>17</v>
      </c>
      <c r="E83" s="6" t="s">
        <v>14</v>
      </c>
      <c r="F83" s="6" t="s">
        <v>13</v>
      </c>
      <c r="G83" s="24">
        <v>0.71527777777777779</v>
      </c>
      <c r="H83" s="24">
        <f t="shared" si="8"/>
        <v>0.73958333333333337</v>
      </c>
      <c r="I83" s="8">
        <f t="shared" si="9"/>
        <v>2.430555555555558E-2</v>
      </c>
      <c r="J83" s="24">
        <v>0.70833333333333337</v>
      </c>
      <c r="K83" s="24">
        <v>0.71736111111111112</v>
      </c>
      <c r="L83" s="24">
        <f t="shared" si="10"/>
        <v>9.0277777777777457E-3</v>
      </c>
      <c r="M83" s="24">
        <v>0.73611111111111116</v>
      </c>
      <c r="N83" s="8">
        <f>+M83-K83</f>
        <v>1.8750000000000044E-2</v>
      </c>
      <c r="O83" s="24">
        <f t="shared" si="11"/>
        <v>2.777777777777779E-2</v>
      </c>
      <c r="P83" s="22">
        <v>9</v>
      </c>
      <c r="Q83" s="25" t="s">
        <v>48</v>
      </c>
      <c r="R83" s="22" t="str">
        <f>IF(COUNTIF(fest!$A$1:$A$18,B83)&gt;0,"FESTIVO", IF(OR(WEEKDAY(B83,2)=6,WEEKDAY(B83,2)=7),"NO HÁBIL","HÁBIL"))</f>
        <v>HÁBIL</v>
      </c>
    </row>
    <row r="84" spans="1:18" ht="15.75" customHeight="1" x14ac:dyDescent="0.2">
      <c r="A84" s="22" t="s">
        <v>44</v>
      </c>
      <c r="B84" s="23">
        <v>46132</v>
      </c>
      <c r="C84" s="6" t="s">
        <v>15</v>
      </c>
      <c r="D84" s="6" t="s">
        <v>17</v>
      </c>
      <c r="E84" s="6" t="s">
        <v>14</v>
      </c>
      <c r="F84" s="6" t="s">
        <v>13</v>
      </c>
      <c r="G84" s="24">
        <v>0.73958333333333337</v>
      </c>
      <c r="H84" s="24">
        <f t="shared" si="8"/>
        <v>0.76388888888888884</v>
      </c>
      <c r="I84" s="8">
        <f t="shared" si="9"/>
        <v>2.4305555555555469E-2</v>
      </c>
      <c r="J84" s="24">
        <v>0.73611111111111116</v>
      </c>
      <c r="K84" s="24">
        <v>0.74513888888888891</v>
      </c>
      <c r="L84" s="24">
        <f t="shared" si="10"/>
        <v>9.0277777777777457E-3</v>
      </c>
      <c r="M84" s="24">
        <v>0.76041666666666663</v>
      </c>
      <c r="N84" s="8">
        <f>+M84-K84</f>
        <v>1.5277777777777724E-2</v>
      </c>
      <c r="O84" s="24">
        <f t="shared" si="11"/>
        <v>2.4305555555555469E-2</v>
      </c>
      <c r="P84" s="22">
        <v>0</v>
      </c>
      <c r="Q84" s="25" t="s">
        <v>45</v>
      </c>
      <c r="R84" s="22" t="str">
        <f>IF(COUNTIF(fest!$A$1:$A$18,B84)&gt;0,"FESTIVO", IF(OR(WEEKDAY(B84,2)=6,WEEKDAY(B84,2)=7),"NO HÁBIL","HÁBIL"))</f>
        <v>HÁBIL</v>
      </c>
    </row>
    <row r="85" spans="1:18" ht="15.75" customHeight="1" x14ac:dyDescent="0.2">
      <c r="A85" s="22" t="s">
        <v>44</v>
      </c>
      <c r="B85" s="23">
        <v>46132</v>
      </c>
      <c r="C85" s="6" t="s">
        <v>16</v>
      </c>
      <c r="D85" s="6" t="s">
        <v>17</v>
      </c>
      <c r="E85" s="6" t="s">
        <v>14</v>
      </c>
      <c r="F85" s="6" t="s">
        <v>13</v>
      </c>
      <c r="G85" s="24">
        <v>0.76388888888888884</v>
      </c>
      <c r="H85" s="24">
        <f t="shared" si="8"/>
        <v>0.27083333333333331</v>
      </c>
      <c r="I85" s="8">
        <f t="shared" si="9"/>
        <v>-0.49305555555555552</v>
      </c>
      <c r="J85" s="24">
        <v>0.76041666666666663</v>
      </c>
      <c r="K85" s="24">
        <v>0.76666666666666672</v>
      </c>
      <c r="L85" s="24">
        <f t="shared" si="10"/>
        <v>6.2500000000000888E-3</v>
      </c>
      <c r="M85" s="24">
        <f>+K85+N85</f>
        <v>0.7836805555555556</v>
      </c>
      <c r="N85" s="8">
        <f>AVERAGE(N83:N84)</f>
        <v>1.7013888888888884E-2</v>
      </c>
      <c r="O85" s="24">
        <f t="shared" si="11"/>
        <v>2.3263888888888973E-2</v>
      </c>
      <c r="P85" s="22">
        <v>4</v>
      </c>
      <c r="Q85" s="25" t="s">
        <v>48</v>
      </c>
      <c r="R85" s="22" t="str">
        <f>IF(COUNTIF(fest!$A$1:$A$18,B85)&gt;0,"FESTIVO", IF(OR(WEEKDAY(B85,2)=6,WEEKDAY(B85,2)=7),"NO HÁBIL","HÁBIL"))</f>
        <v>HÁBIL</v>
      </c>
    </row>
    <row r="86" spans="1:18" ht="15.75" customHeight="1" x14ac:dyDescent="0.2">
      <c r="A86" s="22" t="s">
        <v>43</v>
      </c>
      <c r="B86" s="23">
        <v>46133</v>
      </c>
      <c r="C86" s="6" t="s">
        <v>11</v>
      </c>
      <c r="D86" s="6" t="s">
        <v>12</v>
      </c>
      <c r="E86" s="6" t="s">
        <v>13</v>
      </c>
      <c r="F86" s="6" t="s">
        <v>14</v>
      </c>
      <c r="G86" s="24">
        <v>0.27083333333333331</v>
      </c>
      <c r="H86" s="24">
        <f t="shared" si="8"/>
        <v>0.29166666666666669</v>
      </c>
      <c r="I86" s="8">
        <f t="shared" si="9"/>
        <v>2.083333333333337E-2</v>
      </c>
      <c r="J86" s="24">
        <v>0.2638888888888889</v>
      </c>
      <c r="K86" s="24">
        <v>0.27291666666666664</v>
      </c>
      <c r="L86" s="24">
        <f t="shared" si="10"/>
        <v>9.0277777777777457E-3</v>
      </c>
      <c r="M86" s="24">
        <v>0.28888888888888886</v>
      </c>
      <c r="N86" s="8">
        <f>+M86-K86</f>
        <v>1.5972222222222221E-2</v>
      </c>
      <c r="O86" s="24">
        <f t="shared" si="11"/>
        <v>2.4999999999999967E-2</v>
      </c>
      <c r="P86" s="22">
        <v>5</v>
      </c>
      <c r="Q86" s="25" t="s">
        <v>51</v>
      </c>
      <c r="R86" s="22" t="str">
        <f>IF(COUNTIF(fest!$A$1:$A$18,B86)&gt;0,"FESTIVO", IF(OR(WEEKDAY(B86,2)=6,WEEKDAY(B86,2)=7),"NO HÁBIL","HÁBIL"))</f>
        <v>HÁBIL</v>
      </c>
    </row>
    <row r="87" spans="1:18" ht="15.75" customHeight="1" x14ac:dyDescent="0.2">
      <c r="A87" s="22" t="s">
        <v>43</v>
      </c>
      <c r="B87" s="23">
        <v>46133</v>
      </c>
      <c r="C87" s="6" t="s">
        <v>15</v>
      </c>
      <c r="D87" s="6" t="s">
        <v>12</v>
      </c>
      <c r="E87" s="6" t="s">
        <v>13</v>
      </c>
      <c r="F87" s="6" t="s">
        <v>14</v>
      </c>
      <c r="G87" s="24">
        <v>0.29166666666666669</v>
      </c>
      <c r="H87" s="24">
        <f t="shared" si="8"/>
        <v>0.3125</v>
      </c>
      <c r="I87" s="8">
        <f t="shared" si="9"/>
        <v>2.0833333333333315E-2</v>
      </c>
      <c r="J87" s="24">
        <v>0.28888888888888886</v>
      </c>
      <c r="K87" s="24">
        <v>0.2951388888888889</v>
      </c>
      <c r="L87" s="24">
        <f t="shared" si="10"/>
        <v>6.2500000000000333E-3</v>
      </c>
      <c r="M87" s="24">
        <v>0.31041666666666667</v>
      </c>
      <c r="N87" s="8">
        <f>+M87-K87</f>
        <v>1.5277777777777779E-2</v>
      </c>
      <c r="O87" s="24">
        <f t="shared" si="11"/>
        <v>2.1527777777777812E-2</v>
      </c>
      <c r="P87" s="22">
        <v>4</v>
      </c>
      <c r="Q87" s="25" t="s">
        <v>51</v>
      </c>
      <c r="R87" s="22" t="str">
        <f>IF(COUNTIF(fest!$A$1:$A$18,B87)&gt;0,"FESTIVO", IF(OR(WEEKDAY(B87,2)=6,WEEKDAY(B87,2)=7),"NO HÁBIL","HÁBIL"))</f>
        <v>HÁBIL</v>
      </c>
    </row>
    <row r="88" spans="1:18" ht="15.75" customHeight="1" x14ac:dyDescent="0.2">
      <c r="A88" s="22" t="s">
        <v>43</v>
      </c>
      <c r="B88" s="23">
        <v>46133</v>
      </c>
      <c r="C88" s="6" t="s">
        <v>16</v>
      </c>
      <c r="D88" s="6" t="s">
        <v>12</v>
      </c>
      <c r="E88" s="6" t="s">
        <v>13</v>
      </c>
      <c r="F88" s="6" t="s">
        <v>14</v>
      </c>
      <c r="G88" s="24">
        <v>0.3125</v>
      </c>
      <c r="H88" s="24">
        <f t="shared" si="8"/>
        <v>0.71527777777777779</v>
      </c>
      <c r="I88" s="8">
        <f t="shared" si="9"/>
        <v>0.40277777777777779</v>
      </c>
      <c r="J88" s="24">
        <v>0.31041666666666667</v>
      </c>
      <c r="K88" s="24">
        <v>0.31458333333333333</v>
      </c>
      <c r="L88" s="24">
        <f t="shared" si="10"/>
        <v>4.1666666666666519E-3</v>
      </c>
      <c r="M88" s="24">
        <f>+K88+N88</f>
        <v>0.33020833333333333</v>
      </c>
      <c r="N88" s="8">
        <f>AVERAGE(N86:N87)</f>
        <v>1.5625E-2</v>
      </c>
      <c r="O88" s="24">
        <f t="shared" si="11"/>
        <v>1.9791666666666652E-2</v>
      </c>
      <c r="P88" s="22">
        <v>2</v>
      </c>
      <c r="Q88" s="25" t="s">
        <v>51</v>
      </c>
      <c r="R88" s="22" t="str">
        <f>IF(COUNTIF(fest!$A$1:$A$18,B88)&gt;0,"FESTIVO", IF(OR(WEEKDAY(B88,2)=6,WEEKDAY(B88,2)=7),"NO HÁBIL","HÁBIL"))</f>
        <v>HÁBIL</v>
      </c>
    </row>
    <row r="89" spans="1:18" ht="15.75" customHeight="1" x14ac:dyDescent="0.2">
      <c r="A89" s="22" t="s">
        <v>44</v>
      </c>
      <c r="B89" s="23">
        <v>46133</v>
      </c>
      <c r="C89" s="6" t="s">
        <v>11</v>
      </c>
      <c r="D89" s="6" t="s">
        <v>17</v>
      </c>
      <c r="E89" s="6" t="s">
        <v>14</v>
      </c>
      <c r="F89" s="6" t="s">
        <v>13</v>
      </c>
      <c r="G89" s="24">
        <v>0.71527777777777779</v>
      </c>
      <c r="H89" s="24">
        <f t="shared" si="8"/>
        <v>0.73958333333333337</v>
      </c>
      <c r="I89" s="8">
        <f t="shared" si="9"/>
        <v>2.430555555555558E-2</v>
      </c>
      <c r="J89" s="24">
        <v>0.70833333333333337</v>
      </c>
      <c r="K89" s="24">
        <v>0.71736111111111112</v>
      </c>
      <c r="L89" s="24">
        <f t="shared" si="10"/>
        <v>9.0277777777777457E-3</v>
      </c>
      <c r="M89" s="24">
        <v>0.75</v>
      </c>
      <c r="N89" s="8">
        <f>+M89-K89</f>
        <v>3.2638888888888884E-2</v>
      </c>
      <c r="O89" s="24">
        <f t="shared" si="11"/>
        <v>4.166666666666663E-2</v>
      </c>
      <c r="P89" s="22">
        <v>4</v>
      </c>
      <c r="Q89" s="25" t="s">
        <v>48</v>
      </c>
      <c r="R89" s="22" t="str">
        <f>IF(COUNTIF(fest!$A$1:$A$18,B89)&gt;0,"FESTIVO", IF(OR(WEEKDAY(B89,2)=6,WEEKDAY(B89,2)=7),"NO HÁBIL","HÁBIL"))</f>
        <v>HÁBIL</v>
      </c>
    </row>
    <row r="90" spans="1:18" ht="15.75" customHeight="1" x14ac:dyDescent="0.2">
      <c r="A90" s="22" t="s">
        <v>44</v>
      </c>
      <c r="B90" s="23">
        <v>46133</v>
      </c>
      <c r="C90" s="6" t="s">
        <v>15</v>
      </c>
      <c r="D90" s="6" t="s">
        <v>17</v>
      </c>
      <c r="E90" s="6" t="s">
        <v>14</v>
      </c>
      <c r="F90" s="6" t="s">
        <v>13</v>
      </c>
      <c r="G90" s="24">
        <v>0.73958333333333337</v>
      </c>
      <c r="H90" s="24">
        <f t="shared" si="8"/>
        <v>0.76388888888888884</v>
      </c>
      <c r="I90" s="8">
        <f t="shared" si="9"/>
        <v>2.4305555555555469E-2</v>
      </c>
      <c r="J90" s="24">
        <v>0.75</v>
      </c>
      <c r="K90" s="24">
        <v>0.76597222222222228</v>
      </c>
      <c r="L90" s="24">
        <f t="shared" si="10"/>
        <v>1.5972222222222276E-2</v>
      </c>
      <c r="M90" s="24">
        <v>0.77847222222222223</v>
      </c>
      <c r="N90" s="8">
        <f>+M90-K90</f>
        <v>1.2499999999999956E-2</v>
      </c>
      <c r="O90" s="24">
        <f t="shared" si="11"/>
        <v>2.8472222222222232E-2</v>
      </c>
      <c r="P90" s="22">
        <v>4</v>
      </c>
      <c r="Q90" s="25" t="s">
        <v>48</v>
      </c>
      <c r="R90" s="22" t="str">
        <f>IF(COUNTIF(fest!$A$1:$A$18,B90)&gt;0,"FESTIVO", IF(OR(WEEKDAY(B90,2)=6,WEEKDAY(B90,2)=7),"NO HÁBIL","HÁBIL"))</f>
        <v>HÁBIL</v>
      </c>
    </row>
    <row r="91" spans="1:18" ht="15.75" customHeight="1" x14ac:dyDescent="0.2">
      <c r="A91" s="22" t="s">
        <v>44</v>
      </c>
      <c r="B91" s="23">
        <v>46133</v>
      </c>
      <c r="C91" s="6" t="s">
        <v>16</v>
      </c>
      <c r="D91" s="6" t="s">
        <v>17</v>
      </c>
      <c r="E91" s="6" t="s">
        <v>14</v>
      </c>
      <c r="F91" s="6" t="s">
        <v>13</v>
      </c>
      <c r="G91" s="24">
        <v>0.76388888888888884</v>
      </c>
      <c r="H91" s="24">
        <f t="shared" si="8"/>
        <v>0.27083333333333331</v>
      </c>
      <c r="I91" s="8">
        <f t="shared" si="9"/>
        <v>-0.49305555555555552</v>
      </c>
      <c r="J91" s="24">
        <v>0</v>
      </c>
      <c r="K91" s="24">
        <v>0</v>
      </c>
      <c r="L91" s="24">
        <f t="shared" si="10"/>
        <v>0</v>
      </c>
      <c r="M91" s="24">
        <v>0</v>
      </c>
      <c r="N91" s="8">
        <f>+M91-K91</f>
        <v>0</v>
      </c>
      <c r="O91" s="24">
        <f t="shared" si="11"/>
        <v>0</v>
      </c>
      <c r="P91" s="22">
        <v>0</v>
      </c>
      <c r="Q91" s="25" t="s">
        <v>46</v>
      </c>
      <c r="R91" s="22" t="str">
        <f>IF(COUNTIF(fest!$A$1:$A$18,B91)&gt;0,"FESTIVO", IF(OR(WEEKDAY(B91,2)=6,WEEKDAY(B91,2)=7),"NO HÁBIL","HÁBIL"))</f>
        <v>HÁBIL</v>
      </c>
    </row>
    <row r="92" spans="1:18" ht="15.75" customHeight="1" x14ac:dyDescent="0.2">
      <c r="A92" s="22" t="s">
        <v>43</v>
      </c>
      <c r="B92" s="23">
        <v>46134</v>
      </c>
      <c r="C92" s="6" t="s">
        <v>11</v>
      </c>
      <c r="D92" s="6" t="s">
        <v>12</v>
      </c>
      <c r="E92" s="6" t="s">
        <v>13</v>
      </c>
      <c r="F92" s="6" t="s">
        <v>14</v>
      </c>
      <c r="G92" s="24">
        <v>0.27083333333333331</v>
      </c>
      <c r="H92" s="24">
        <f t="shared" si="8"/>
        <v>0.29166666666666669</v>
      </c>
      <c r="I92" s="8">
        <f t="shared" si="9"/>
        <v>2.083333333333337E-2</v>
      </c>
      <c r="J92" s="24">
        <v>0.2639590277777778</v>
      </c>
      <c r="K92" s="24">
        <v>0.27361111111111114</v>
      </c>
      <c r="L92" s="24">
        <f t="shared" si="10"/>
        <v>9.6520833333333389E-3</v>
      </c>
      <c r="M92" s="24">
        <v>0.28819444444444442</v>
      </c>
      <c r="N92" s="8">
        <f>+M92-K92</f>
        <v>1.4583333333333282E-2</v>
      </c>
      <c r="O92" s="24">
        <f t="shared" si="11"/>
        <v>2.423541666666662E-2</v>
      </c>
      <c r="P92" s="22">
        <v>4</v>
      </c>
      <c r="Q92" s="25" t="s">
        <v>51</v>
      </c>
      <c r="R92" s="22" t="str">
        <f>IF(COUNTIF(fest!$A$1:$A$18,B92)&gt;0,"FESTIVO", IF(OR(WEEKDAY(B92,2)=6,WEEKDAY(B92,2)=7),"NO HÁBIL","HÁBIL"))</f>
        <v>HÁBIL</v>
      </c>
    </row>
    <row r="93" spans="1:18" ht="15.75" customHeight="1" x14ac:dyDescent="0.2">
      <c r="A93" s="22" t="s">
        <v>43</v>
      </c>
      <c r="B93" s="23">
        <v>46134</v>
      </c>
      <c r="C93" s="6" t="s">
        <v>15</v>
      </c>
      <c r="D93" s="6" t="s">
        <v>12</v>
      </c>
      <c r="E93" s="6" t="s">
        <v>13</v>
      </c>
      <c r="F93" s="6" t="s">
        <v>14</v>
      </c>
      <c r="G93" s="24">
        <v>0.29166666666666669</v>
      </c>
      <c r="H93" s="24">
        <f t="shared" si="8"/>
        <v>0.3125</v>
      </c>
      <c r="I93" s="8">
        <f t="shared" si="9"/>
        <v>2.0833333333333315E-2</v>
      </c>
      <c r="J93" s="24">
        <v>0.28819444444444442</v>
      </c>
      <c r="K93" s="24">
        <v>0.29375000000000001</v>
      </c>
      <c r="L93" s="24">
        <f t="shared" si="10"/>
        <v>5.5555555555555913E-3</v>
      </c>
      <c r="M93" s="24">
        <v>0.31111111111111112</v>
      </c>
      <c r="N93" s="8">
        <f>+M93-K93</f>
        <v>1.7361111111111105E-2</v>
      </c>
      <c r="O93" s="24">
        <f t="shared" si="11"/>
        <v>2.2916666666666696E-2</v>
      </c>
      <c r="P93" s="22">
        <v>3</v>
      </c>
      <c r="Q93" s="25" t="s">
        <v>51</v>
      </c>
      <c r="R93" s="22" t="str">
        <f>IF(COUNTIF(fest!$A$1:$A$18,B93)&gt;0,"FESTIVO", IF(OR(WEEKDAY(B93,2)=6,WEEKDAY(B93,2)=7),"NO HÁBIL","HÁBIL"))</f>
        <v>HÁBIL</v>
      </c>
    </row>
    <row r="94" spans="1:18" ht="15.75" customHeight="1" x14ac:dyDescent="0.2">
      <c r="A94" s="22" t="s">
        <v>43</v>
      </c>
      <c r="B94" s="23">
        <v>46134</v>
      </c>
      <c r="C94" s="6" t="s">
        <v>16</v>
      </c>
      <c r="D94" s="6" t="s">
        <v>12</v>
      </c>
      <c r="E94" s="6" t="s">
        <v>13</v>
      </c>
      <c r="F94" s="6" t="s">
        <v>14</v>
      </c>
      <c r="G94" s="24">
        <v>0.3125</v>
      </c>
      <c r="H94" s="24">
        <f t="shared" si="8"/>
        <v>0.71527777777777779</v>
      </c>
      <c r="I94" s="8">
        <f t="shared" si="9"/>
        <v>0.40277777777777779</v>
      </c>
      <c r="J94" s="24">
        <v>0.31111111111111112</v>
      </c>
      <c r="K94" s="24">
        <v>0.32291666666666669</v>
      </c>
      <c r="L94" s="24">
        <f t="shared" si="10"/>
        <v>1.1805555555555569E-2</v>
      </c>
      <c r="M94" s="24">
        <v>0</v>
      </c>
      <c r="N94" s="8">
        <f>AVERAGE(N92:N93)</f>
        <v>1.5972222222222193E-2</v>
      </c>
      <c r="O94" s="24">
        <f t="shared" si="11"/>
        <v>2.7777777777777762E-2</v>
      </c>
      <c r="P94" s="22">
        <v>0</v>
      </c>
      <c r="Q94" s="25" t="s">
        <v>51</v>
      </c>
      <c r="R94" s="22" t="str">
        <f>IF(COUNTIF(fest!$A$1:$A$18,B94)&gt;0,"FESTIVO", IF(OR(WEEKDAY(B94,2)=6,WEEKDAY(B94,2)=7),"NO HÁBIL","HÁBIL"))</f>
        <v>HÁBIL</v>
      </c>
    </row>
    <row r="95" spans="1:18" ht="15.75" customHeight="1" x14ac:dyDescent="0.2">
      <c r="A95" s="22" t="s">
        <v>44</v>
      </c>
      <c r="B95" s="23">
        <v>46134</v>
      </c>
      <c r="C95" s="6" t="s">
        <v>11</v>
      </c>
      <c r="D95" s="6" t="s">
        <v>17</v>
      </c>
      <c r="E95" s="6" t="s">
        <v>14</v>
      </c>
      <c r="F95" s="6" t="s">
        <v>13</v>
      </c>
      <c r="G95" s="24">
        <v>0.71527777777777779</v>
      </c>
      <c r="H95" s="24">
        <f t="shared" si="8"/>
        <v>0.73958333333333337</v>
      </c>
      <c r="I95" s="8">
        <f t="shared" si="9"/>
        <v>2.430555555555558E-2</v>
      </c>
      <c r="J95" s="24">
        <v>0.70833333333333337</v>
      </c>
      <c r="K95" s="24">
        <v>0.71805555555555556</v>
      </c>
      <c r="L95" s="24">
        <f t="shared" si="10"/>
        <v>9.7222222222221877E-3</v>
      </c>
      <c r="M95" s="24">
        <v>0.75208333333333333</v>
      </c>
      <c r="N95" s="8">
        <f>+M95-K95</f>
        <v>3.4027777777777768E-2</v>
      </c>
      <c r="O95" s="24">
        <f t="shared" si="11"/>
        <v>4.3749999999999956E-2</v>
      </c>
      <c r="P95" s="22">
        <v>5</v>
      </c>
      <c r="Q95" s="25" t="s">
        <v>48</v>
      </c>
      <c r="R95" s="22" t="str">
        <f>IF(COUNTIF(fest!$A$1:$A$18,B95)&gt;0,"FESTIVO", IF(OR(WEEKDAY(B95,2)=6,WEEKDAY(B95,2)=7),"NO HÁBIL","HÁBIL"))</f>
        <v>HÁBIL</v>
      </c>
    </row>
    <row r="96" spans="1:18" ht="15.75" customHeight="1" x14ac:dyDescent="0.2">
      <c r="A96" s="22" t="s">
        <v>44</v>
      </c>
      <c r="B96" s="23">
        <v>46134</v>
      </c>
      <c r="C96" s="6" t="s">
        <v>15</v>
      </c>
      <c r="D96" s="6" t="s">
        <v>17</v>
      </c>
      <c r="E96" s="6" t="s">
        <v>14</v>
      </c>
      <c r="F96" s="6" t="s">
        <v>13</v>
      </c>
      <c r="G96" s="24">
        <v>0.73958333333333337</v>
      </c>
      <c r="H96" s="24">
        <f t="shared" si="8"/>
        <v>0.76388888888888884</v>
      </c>
      <c r="I96" s="8">
        <f t="shared" si="9"/>
        <v>2.4305555555555469E-2</v>
      </c>
      <c r="J96" s="24">
        <v>0.75208333333333333</v>
      </c>
      <c r="K96" s="24">
        <v>0.76666666666666672</v>
      </c>
      <c r="L96" s="24">
        <f t="shared" si="10"/>
        <v>1.4583333333333393E-2</v>
      </c>
      <c r="M96" s="24">
        <v>0.77986111111111112</v>
      </c>
      <c r="N96" s="8">
        <f>+M96-K96</f>
        <v>1.3194444444444398E-2</v>
      </c>
      <c r="O96" s="24">
        <f t="shared" si="11"/>
        <v>2.777777777777779E-2</v>
      </c>
      <c r="P96" s="22">
        <v>3</v>
      </c>
      <c r="Q96" s="25" t="s">
        <v>48</v>
      </c>
      <c r="R96" s="22" t="str">
        <f>IF(COUNTIF(fest!$A$1:$A$18,B96)&gt;0,"FESTIVO", IF(OR(WEEKDAY(B96,2)=6,WEEKDAY(B96,2)=7),"NO HÁBIL","HÁBIL"))</f>
        <v>HÁBIL</v>
      </c>
    </row>
    <row r="97" spans="1:18" ht="15.75" customHeight="1" x14ac:dyDescent="0.2">
      <c r="A97" s="22" t="s">
        <v>44</v>
      </c>
      <c r="B97" s="23">
        <v>46134</v>
      </c>
      <c r="C97" s="6" t="s">
        <v>16</v>
      </c>
      <c r="D97" s="6" t="s">
        <v>17</v>
      </c>
      <c r="E97" s="6" t="s">
        <v>14</v>
      </c>
      <c r="F97" s="6" t="s">
        <v>13</v>
      </c>
      <c r="G97" s="24">
        <v>0.76388888888888884</v>
      </c>
      <c r="H97" s="24">
        <f t="shared" si="8"/>
        <v>0.27083333333333331</v>
      </c>
      <c r="I97" s="8">
        <f t="shared" si="9"/>
        <v>-0.49305555555555552</v>
      </c>
      <c r="J97" s="24">
        <v>0</v>
      </c>
      <c r="K97" s="24">
        <v>0</v>
      </c>
      <c r="L97" s="24">
        <f t="shared" si="10"/>
        <v>0</v>
      </c>
      <c r="M97" s="24">
        <v>0</v>
      </c>
      <c r="N97" s="8">
        <f>+M97-K97</f>
        <v>0</v>
      </c>
      <c r="O97" s="24">
        <f t="shared" si="11"/>
        <v>0</v>
      </c>
      <c r="P97" s="22">
        <v>0</v>
      </c>
      <c r="Q97" s="25" t="s">
        <v>46</v>
      </c>
      <c r="R97" s="22" t="str">
        <f>IF(COUNTIF(fest!$A$1:$A$18,B97)&gt;0,"FESTIVO", IF(OR(WEEKDAY(B97,2)=6,WEEKDAY(B97,2)=7),"NO HÁBIL","HÁBIL"))</f>
        <v>HÁBIL</v>
      </c>
    </row>
    <row r="98" spans="1:18" ht="15.75" customHeight="1" x14ac:dyDescent="0.2">
      <c r="A98" s="22" t="s">
        <v>43</v>
      </c>
      <c r="B98" s="23">
        <v>46135</v>
      </c>
      <c r="C98" s="6" t="s">
        <v>11</v>
      </c>
      <c r="D98" s="6" t="s">
        <v>12</v>
      </c>
      <c r="E98" s="6" t="s">
        <v>13</v>
      </c>
      <c r="F98" s="6" t="s">
        <v>14</v>
      </c>
      <c r="G98" s="24">
        <v>0.27083333333333331</v>
      </c>
      <c r="H98" s="24">
        <f t="shared" si="8"/>
        <v>0.29166666666666669</v>
      </c>
      <c r="I98" s="8">
        <f t="shared" si="9"/>
        <v>2.083333333333337E-2</v>
      </c>
      <c r="J98" s="24">
        <v>0.2638888888888889</v>
      </c>
      <c r="K98" s="24">
        <v>0.27291666666666664</v>
      </c>
      <c r="L98" s="24">
        <f t="shared" si="10"/>
        <v>9.0277777777777457E-3</v>
      </c>
      <c r="M98" s="24">
        <v>0.28749999999999998</v>
      </c>
      <c r="N98" s="8">
        <f>+M98-K98</f>
        <v>1.4583333333333337E-2</v>
      </c>
      <c r="O98" s="24">
        <f t="shared" si="11"/>
        <v>2.3611111111111083E-2</v>
      </c>
      <c r="P98" s="22">
        <v>1</v>
      </c>
      <c r="Q98" s="25" t="s">
        <v>51</v>
      </c>
      <c r="R98" s="22" t="str">
        <f>IF(COUNTIF(fest!$A$1:$A$18,B98)&gt;0,"FESTIVO", IF(OR(WEEKDAY(B98,2)=6,WEEKDAY(B98,2)=7),"NO HÁBIL","HÁBIL"))</f>
        <v>HÁBIL</v>
      </c>
    </row>
    <row r="99" spans="1:18" ht="15.75" customHeight="1" x14ac:dyDescent="0.2">
      <c r="A99" s="22" t="s">
        <v>43</v>
      </c>
      <c r="B99" s="23">
        <v>46135</v>
      </c>
      <c r="C99" s="6" t="s">
        <v>15</v>
      </c>
      <c r="D99" s="6" t="s">
        <v>12</v>
      </c>
      <c r="E99" s="6" t="s">
        <v>13</v>
      </c>
      <c r="F99" s="6" t="s">
        <v>14</v>
      </c>
      <c r="G99" s="24">
        <v>0.29166666666666669</v>
      </c>
      <c r="H99" s="24">
        <f t="shared" si="8"/>
        <v>0.3125</v>
      </c>
      <c r="I99" s="8">
        <f t="shared" si="9"/>
        <v>2.0833333333333315E-2</v>
      </c>
      <c r="J99" s="24">
        <v>0.28749999999999998</v>
      </c>
      <c r="K99" s="24">
        <v>0.29375000000000001</v>
      </c>
      <c r="L99" s="24">
        <f t="shared" si="10"/>
        <v>6.2500000000000333E-3</v>
      </c>
      <c r="M99" s="24">
        <v>0.31111111111111112</v>
      </c>
      <c r="N99" s="8">
        <f>+M99-K99</f>
        <v>1.7361111111111105E-2</v>
      </c>
      <c r="O99" s="24">
        <f t="shared" si="11"/>
        <v>2.3611111111111138E-2</v>
      </c>
      <c r="P99" s="22">
        <v>3</v>
      </c>
      <c r="Q99" s="25" t="s">
        <v>51</v>
      </c>
      <c r="R99" s="22" t="str">
        <f>IF(COUNTIF(fest!$A$1:$A$18,B99)&gt;0,"FESTIVO", IF(OR(WEEKDAY(B99,2)=6,WEEKDAY(B99,2)=7),"NO HÁBIL","HÁBIL"))</f>
        <v>HÁBIL</v>
      </c>
    </row>
    <row r="100" spans="1:18" ht="15.75" customHeight="1" x14ac:dyDescent="0.2">
      <c r="A100" s="22" t="s">
        <v>43</v>
      </c>
      <c r="B100" s="23">
        <v>46135</v>
      </c>
      <c r="C100" s="6" t="s">
        <v>16</v>
      </c>
      <c r="D100" s="6" t="s">
        <v>12</v>
      </c>
      <c r="E100" s="6" t="s">
        <v>13</v>
      </c>
      <c r="F100" s="6" t="s">
        <v>14</v>
      </c>
      <c r="G100" s="24">
        <v>0.3125</v>
      </c>
      <c r="H100" s="24">
        <f t="shared" si="8"/>
        <v>0.71527777777777779</v>
      </c>
      <c r="I100" s="8">
        <f t="shared" si="9"/>
        <v>0.40277777777777779</v>
      </c>
      <c r="J100" s="24">
        <v>0.31111111111111112</v>
      </c>
      <c r="K100" s="24">
        <v>0.31736111111111109</v>
      </c>
      <c r="L100" s="24">
        <f t="shared" si="10"/>
        <v>6.2499999999999778E-3</v>
      </c>
      <c r="M100" s="24">
        <f>+K100+N100</f>
        <v>0.33333333333333331</v>
      </c>
      <c r="N100" s="8">
        <f>AVERAGE(N98:N99)</f>
        <v>1.5972222222222221E-2</v>
      </c>
      <c r="O100" s="24">
        <f t="shared" si="11"/>
        <v>2.2222222222222199E-2</v>
      </c>
      <c r="P100" s="22">
        <v>1</v>
      </c>
      <c r="Q100" s="25" t="s">
        <v>51</v>
      </c>
      <c r="R100" s="22" t="str">
        <f>IF(COUNTIF(fest!$A$1:$A$18,B100)&gt;0,"FESTIVO", IF(OR(WEEKDAY(B100,2)=6,WEEKDAY(B100,2)=7),"NO HÁBIL","HÁBIL"))</f>
        <v>HÁBIL</v>
      </c>
    </row>
    <row r="101" spans="1:18" ht="15.75" customHeight="1" x14ac:dyDescent="0.2">
      <c r="A101" s="22" t="s">
        <v>44</v>
      </c>
      <c r="B101" s="23">
        <v>46135</v>
      </c>
      <c r="C101" s="6" t="s">
        <v>11</v>
      </c>
      <c r="D101" s="6" t="s">
        <v>17</v>
      </c>
      <c r="E101" s="6" t="s">
        <v>14</v>
      </c>
      <c r="F101" s="6" t="s">
        <v>13</v>
      </c>
      <c r="G101" s="24">
        <v>0.71527777777777779</v>
      </c>
      <c r="H101" s="24">
        <f t="shared" si="8"/>
        <v>0.73958333333333337</v>
      </c>
      <c r="I101" s="8">
        <f t="shared" si="9"/>
        <v>2.430555555555558E-2</v>
      </c>
      <c r="J101" s="24">
        <v>0.70833333333333337</v>
      </c>
      <c r="K101" s="24">
        <v>0.71736111111111112</v>
      </c>
      <c r="L101" s="24">
        <f t="shared" si="10"/>
        <v>9.0277777777777457E-3</v>
      </c>
      <c r="M101" s="24">
        <v>0.74791666666666667</v>
      </c>
      <c r="N101" s="8">
        <f>+M101-K101</f>
        <v>3.0555555555555558E-2</v>
      </c>
      <c r="O101" s="24">
        <f t="shared" si="11"/>
        <v>3.9583333333333304E-2</v>
      </c>
      <c r="P101" s="22">
        <v>3</v>
      </c>
      <c r="Q101" s="25" t="s">
        <v>48</v>
      </c>
      <c r="R101" s="22" t="str">
        <f>IF(COUNTIF(fest!$A$1:$A$18,B101)&gt;0,"FESTIVO", IF(OR(WEEKDAY(B101,2)=6,WEEKDAY(B101,2)=7),"NO HÁBIL","HÁBIL"))</f>
        <v>HÁBIL</v>
      </c>
    </row>
    <row r="102" spans="1:18" ht="15.75" customHeight="1" x14ac:dyDescent="0.2">
      <c r="A102" s="22" t="s">
        <v>44</v>
      </c>
      <c r="B102" s="23">
        <v>46135</v>
      </c>
      <c r="C102" s="6" t="s">
        <v>15</v>
      </c>
      <c r="D102" s="6" t="s">
        <v>17</v>
      </c>
      <c r="E102" s="6" t="s">
        <v>14</v>
      </c>
      <c r="F102" s="6" t="s">
        <v>13</v>
      </c>
      <c r="G102" s="24">
        <v>0.73958333333333337</v>
      </c>
      <c r="H102" s="24">
        <f t="shared" si="8"/>
        <v>0.76388888888888884</v>
      </c>
      <c r="I102" s="8">
        <f t="shared" si="9"/>
        <v>2.4305555555555469E-2</v>
      </c>
      <c r="J102" s="24">
        <v>0.74791666666666667</v>
      </c>
      <c r="K102" s="24">
        <v>0.75208333333333333</v>
      </c>
      <c r="L102" s="24">
        <f t="shared" si="10"/>
        <v>4.1666666666666519E-3</v>
      </c>
      <c r="M102" s="24">
        <v>0.76111111111111107</v>
      </c>
      <c r="N102" s="8">
        <f>+M102-K102</f>
        <v>9.0277777777777457E-3</v>
      </c>
      <c r="O102" s="24">
        <f t="shared" si="11"/>
        <v>1.3194444444444398E-2</v>
      </c>
      <c r="P102" s="22">
        <v>0</v>
      </c>
      <c r="Q102" s="25" t="s">
        <v>45</v>
      </c>
      <c r="R102" s="22" t="str">
        <f>IF(COUNTIF(fest!$A$1:$A$18,B102)&gt;0,"FESTIVO", IF(OR(WEEKDAY(B102,2)=6,WEEKDAY(B102,2)=7),"NO HÁBIL","HÁBIL"))</f>
        <v>HÁBIL</v>
      </c>
    </row>
    <row r="103" spans="1:18" ht="15.75" customHeight="1" x14ac:dyDescent="0.2">
      <c r="A103" s="22" t="s">
        <v>44</v>
      </c>
      <c r="B103" s="23">
        <v>46135</v>
      </c>
      <c r="C103" s="6" t="s">
        <v>16</v>
      </c>
      <c r="D103" s="6" t="s">
        <v>17</v>
      </c>
      <c r="E103" s="6" t="s">
        <v>14</v>
      </c>
      <c r="F103" s="6" t="s">
        <v>13</v>
      </c>
      <c r="G103" s="24">
        <v>0.76388888888888884</v>
      </c>
      <c r="H103" s="24">
        <f t="shared" si="8"/>
        <v>0.27083333333333331</v>
      </c>
      <c r="I103" s="8">
        <f t="shared" si="9"/>
        <v>-0.49305555555555552</v>
      </c>
      <c r="J103" s="24">
        <v>0.76111111111111107</v>
      </c>
      <c r="K103" s="24">
        <v>0.76597222222222228</v>
      </c>
      <c r="L103" s="24">
        <f t="shared" si="10"/>
        <v>4.8611111111112049E-3</v>
      </c>
      <c r="M103" s="24">
        <f>+K103+N103</f>
        <v>0.78576388888888893</v>
      </c>
      <c r="N103" s="8">
        <f>AVERAGE(N101:N102)</f>
        <v>1.9791666666666652E-2</v>
      </c>
      <c r="O103" s="24">
        <f t="shared" si="11"/>
        <v>2.4652777777777857E-2</v>
      </c>
      <c r="P103" s="22">
        <v>5</v>
      </c>
      <c r="Q103" s="25" t="s">
        <v>48</v>
      </c>
      <c r="R103" s="22" t="str">
        <f>IF(COUNTIF(fest!$A$1:$A$18,B103)&gt;0,"FESTIVO", IF(OR(WEEKDAY(B103,2)=6,WEEKDAY(B103,2)=7),"NO HÁBIL","HÁBIL"))</f>
        <v>HÁBIL</v>
      </c>
    </row>
    <row r="104" spans="1:18" ht="15.75" customHeight="1" x14ac:dyDescent="0.2">
      <c r="A104" s="22" t="s">
        <v>43</v>
      </c>
      <c r="B104" s="23">
        <v>46136</v>
      </c>
      <c r="C104" s="6" t="s">
        <v>11</v>
      </c>
      <c r="D104" s="6" t="s">
        <v>12</v>
      </c>
      <c r="E104" s="6" t="s">
        <v>13</v>
      </c>
      <c r="F104" s="6" t="s">
        <v>14</v>
      </c>
      <c r="G104" s="24">
        <v>0.27083333333333331</v>
      </c>
      <c r="H104" s="24">
        <f t="shared" si="8"/>
        <v>0.29166666666666669</v>
      </c>
      <c r="I104" s="8">
        <f t="shared" si="9"/>
        <v>2.083333333333337E-2</v>
      </c>
      <c r="J104" s="24">
        <v>0.2638888888888889</v>
      </c>
      <c r="K104" s="24">
        <v>0.27291666666666664</v>
      </c>
      <c r="L104" s="24">
        <f t="shared" si="10"/>
        <v>9.0277777777777457E-3</v>
      </c>
      <c r="M104" s="24">
        <v>0.28749999999999998</v>
      </c>
      <c r="N104" s="8">
        <f>+M104-K104</f>
        <v>1.4583333333333337E-2</v>
      </c>
      <c r="O104" s="24">
        <f t="shared" si="11"/>
        <v>2.3611111111111083E-2</v>
      </c>
      <c r="P104" s="22">
        <v>1</v>
      </c>
      <c r="Q104" s="25" t="s">
        <v>51</v>
      </c>
      <c r="R104" s="22" t="str">
        <f>IF(COUNTIF(fest!$A$1:$A$18,B104)&gt;0,"FESTIVO", IF(OR(WEEKDAY(B104,2)=6,WEEKDAY(B104,2)=7),"NO HÁBIL","HÁBIL"))</f>
        <v>HÁBIL</v>
      </c>
    </row>
    <row r="105" spans="1:18" ht="15.75" customHeight="1" x14ac:dyDescent="0.2">
      <c r="A105" s="22" t="s">
        <v>43</v>
      </c>
      <c r="B105" s="23">
        <v>46136</v>
      </c>
      <c r="C105" s="6" t="s">
        <v>15</v>
      </c>
      <c r="D105" s="6" t="s">
        <v>12</v>
      </c>
      <c r="E105" s="6" t="s">
        <v>13</v>
      </c>
      <c r="F105" s="6" t="s">
        <v>14</v>
      </c>
      <c r="G105" s="24">
        <v>0.29166666666666669</v>
      </c>
      <c r="H105" s="24">
        <f t="shared" si="8"/>
        <v>0.3125</v>
      </c>
      <c r="I105" s="8">
        <f t="shared" si="9"/>
        <v>2.0833333333333315E-2</v>
      </c>
      <c r="J105" s="24">
        <v>0.28749999999999998</v>
      </c>
      <c r="K105" s="24">
        <v>0.29444444444444445</v>
      </c>
      <c r="L105" s="24">
        <f t="shared" si="10"/>
        <v>6.9444444444444753E-3</v>
      </c>
      <c r="M105" s="24">
        <v>0.30833333333333335</v>
      </c>
      <c r="N105" s="8">
        <f>+M105-K105</f>
        <v>1.3888888888888895E-2</v>
      </c>
      <c r="O105" s="24">
        <f t="shared" si="11"/>
        <v>2.083333333333337E-2</v>
      </c>
      <c r="P105" s="22">
        <v>1</v>
      </c>
      <c r="Q105" s="25" t="s">
        <v>51</v>
      </c>
      <c r="R105" s="22" t="str">
        <f>IF(COUNTIF(fest!$A$1:$A$18,B105)&gt;0,"FESTIVO", IF(OR(WEEKDAY(B105,2)=6,WEEKDAY(B105,2)=7),"NO HÁBIL","HÁBIL"))</f>
        <v>HÁBIL</v>
      </c>
    </row>
    <row r="106" spans="1:18" ht="15.75" customHeight="1" x14ac:dyDescent="0.2">
      <c r="A106" s="22" t="s">
        <v>43</v>
      </c>
      <c r="B106" s="23">
        <v>46136</v>
      </c>
      <c r="C106" s="6" t="s">
        <v>16</v>
      </c>
      <c r="D106" s="6" t="s">
        <v>12</v>
      </c>
      <c r="E106" s="6" t="s">
        <v>13</v>
      </c>
      <c r="F106" s="6" t="s">
        <v>14</v>
      </c>
      <c r="G106" s="24">
        <v>0.3125</v>
      </c>
      <c r="H106" s="24">
        <f t="shared" si="8"/>
        <v>0.71527777777777779</v>
      </c>
      <c r="I106" s="8">
        <f t="shared" si="9"/>
        <v>0.40277777777777779</v>
      </c>
      <c r="J106" s="24">
        <v>0.30833333333333335</v>
      </c>
      <c r="K106" s="24">
        <v>0.31458333333333333</v>
      </c>
      <c r="L106" s="24">
        <f t="shared" si="10"/>
        <v>6.2499999999999778E-3</v>
      </c>
      <c r="M106" s="24">
        <f>+K106+N106</f>
        <v>0.32881944444444444</v>
      </c>
      <c r="N106" s="8">
        <f>AVERAGE(N104:N105)</f>
        <v>1.4236111111111116E-2</v>
      </c>
      <c r="O106" s="24">
        <f t="shared" si="11"/>
        <v>2.0486111111111094E-2</v>
      </c>
      <c r="P106" s="22">
        <v>1</v>
      </c>
      <c r="Q106" s="25" t="s">
        <v>51</v>
      </c>
      <c r="R106" s="22" t="str">
        <f>IF(COUNTIF(fest!$A$1:$A$18,B106)&gt;0,"FESTIVO", IF(OR(WEEKDAY(B106,2)=6,WEEKDAY(B106,2)=7),"NO HÁBIL","HÁBIL"))</f>
        <v>HÁBIL</v>
      </c>
    </row>
    <row r="107" spans="1:18" ht="15.75" customHeight="1" x14ac:dyDescent="0.2">
      <c r="A107" s="22" t="s">
        <v>44</v>
      </c>
      <c r="B107" s="23">
        <v>46136</v>
      </c>
      <c r="C107" s="6" t="s">
        <v>11</v>
      </c>
      <c r="D107" s="6" t="s">
        <v>17</v>
      </c>
      <c r="E107" s="6" t="s">
        <v>14</v>
      </c>
      <c r="F107" s="6" t="s">
        <v>13</v>
      </c>
      <c r="G107" s="24">
        <v>0.71527777777777779</v>
      </c>
      <c r="H107" s="24">
        <f t="shared" si="8"/>
        <v>0.73958333333333337</v>
      </c>
      <c r="I107" s="8">
        <f t="shared" si="9"/>
        <v>2.430555555555558E-2</v>
      </c>
      <c r="J107" s="24">
        <v>0.66736111111111107</v>
      </c>
      <c r="K107" s="24">
        <v>0.67569444444444449</v>
      </c>
      <c r="L107" s="24">
        <f t="shared" si="10"/>
        <v>8.3333333333334147E-3</v>
      </c>
      <c r="M107" s="24">
        <v>0.69305555555555554</v>
      </c>
      <c r="N107" s="8">
        <f>+M107-K107</f>
        <v>1.7361111111111049E-2</v>
      </c>
      <c r="O107" s="24">
        <f t="shared" si="11"/>
        <v>2.5694444444444464E-2</v>
      </c>
      <c r="P107" s="22">
        <v>1</v>
      </c>
      <c r="Q107" s="25" t="s">
        <v>47</v>
      </c>
      <c r="R107" s="22" t="str">
        <f>IF(COUNTIF(fest!$A$1:$A$18,B107)&gt;0,"FESTIVO", IF(OR(WEEKDAY(B107,2)=6,WEEKDAY(B107,2)=7),"NO HÁBIL","HÁBIL"))</f>
        <v>HÁBIL</v>
      </c>
    </row>
    <row r="108" spans="1:18" ht="15.75" customHeight="1" x14ac:dyDescent="0.2">
      <c r="A108" s="22" t="s">
        <v>44</v>
      </c>
      <c r="B108" s="23">
        <v>46136</v>
      </c>
      <c r="C108" s="6" t="s">
        <v>15</v>
      </c>
      <c r="D108" s="6" t="s">
        <v>17</v>
      </c>
      <c r="E108" s="6" t="s">
        <v>14</v>
      </c>
      <c r="F108" s="6" t="s">
        <v>13</v>
      </c>
      <c r="G108" s="24">
        <v>0.73958333333333337</v>
      </c>
      <c r="H108" s="24">
        <f t="shared" si="8"/>
        <v>0.76388888888888884</v>
      </c>
      <c r="I108" s="8">
        <f t="shared" si="9"/>
        <v>2.4305555555555469E-2</v>
      </c>
      <c r="J108" s="24">
        <v>0.69305555555555554</v>
      </c>
      <c r="K108" s="24">
        <v>0.69791666666666663</v>
      </c>
      <c r="L108" s="24">
        <f t="shared" si="10"/>
        <v>4.8611111111110938E-3</v>
      </c>
      <c r="M108" s="24">
        <v>0.71736111111111112</v>
      </c>
      <c r="N108" s="8">
        <f>+M108-K108</f>
        <v>1.9444444444444486E-2</v>
      </c>
      <c r="O108" s="24">
        <f t="shared" si="11"/>
        <v>2.430555555555558E-2</v>
      </c>
      <c r="P108" s="22">
        <v>1</v>
      </c>
      <c r="Q108" s="25" t="s">
        <v>47</v>
      </c>
      <c r="R108" s="22" t="str">
        <f>IF(COUNTIF(fest!$A$1:$A$18,B108)&gt;0,"FESTIVO", IF(OR(WEEKDAY(B108,2)=6,WEEKDAY(B108,2)=7),"NO HÁBIL","HÁBIL"))</f>
        <v>HÁBIL</v>
      </c>
    </row>
    <row r="109" spans="1:18" ht="15.75" customHeight="1" x14ac:dyDescent="0.2">
      <c r="A109" s="22" t="s">
        <v>44</v>
      </c>
      <c r="B109" s="23">
        <v>46136</v>
      </c>
      <c r="C109" s="6" t="s">
        <v>16</v>
      </c>
      <c r="D109" s="6" t="s">
        <v>17</v>
      </c>
      <c r="E109" s="6" t="s">
        <v>14</v>
      </c>
      <c r="F109" s="6" t="s">
        <v>13</v>
      </c>
      <c r="G109" s="24">
        <v>0.76388888888888884</v>
      </c>
      <c r="H109" s="24">
        <f t="shared" si="8"/>
        <v>0.27083333333333331</v>
      </c>
      <c r="I109" s="8">
        <f t="shared" si="9"/>
        <v>-0.49305555555555552</v>
      </c>
      <c r="J109" s="24">
        <v>0.71736111111111112</v>
      </c>
      <c r="K109" s="24">
        <v>0.72569444444444442</v>
      </c>
      <c r="L109" s="24">
        <f t="shared" si="10"/>
        <v>8.3333333333333037E-3</v>
      </c>
      <c r="M109" s="24">
        <f>+K109+N109</f>
        <v>0.74409722222222219</v>
      </c>
      <c r="N109" s="8">
        <f>AVERAGE(N107:N108)</f>
        <v>1.8402777777777768E-2</v>
      </c>
      <c r="O109" s="24">
        <f t="shared" si="11"/>
        <v>2.6736111111111072E-2</v>
      </c>
      <c r="P109" s="22">
        <v>4</v>
      </c>
      <c r="Q109" s="25" t="s">
        <v>47</v>
      </c>
      <c r="R109" s="22" t="str">
        <f>IF(COUNTIF(fest!$A$1:$A$18,B109)&gt;0,"FESTIVO", IF(OR(WEEKDAY(B109,2)=6,WEEKDAY(B109,2)=7),"NO HÁBIL","HÁBIL"))</f>
        <v>HÁBIL</v>
      </c>
    </row>
    <row r="110" spans="1:18" ht="15.75" customHeight="1" x14ac:dyDescent="0.2">
      <c r="A110" s="22" t="s">
        <v>43</v>
      </c>
      <c r="B110" s="23">
        <v>46139</v>
      </c>
      <c r="C110" s="6" t="s">
        <v>11</v>
      </c>
      <c r="D110" s="6" t="s">
        <v>12</v>
      </c>
      <c r="E110" s="6" t="s">
        <v>13</v>
      </c>
      <c r="F110" s="6" t="s">
        <v>14</v>
      </c>
      <c r="G110" s="24">
        <v>0.27083333333333331</v>
      </c>
      <c r="H110" s="24">
        <f t="shared" si="8"/>
        <v>0.29166666666666669</v>
      </c>
      <c r="I110" s="8">
        <f t="shared" si="9"/>
        <v>2.083333333333337E-2</v>
      </c>
      <c r="J110" s="24">
        <v>0.2638888888888889</v>
      </c>
      <c r="K110" s="24">
        <v>0.27361111111111114</v>
      </c>
      <c r="L110" s="24">
        <f t="shared" si="10"/>
        <v>9.7222222222222432E-3</v>
      </c>
      <c r="M110" s="24">
        <v>0.28888888888888886</v>
      </c>
      <c r="N110" s="8">
        <f>+M110-K110</f>
        <v>1.5277777777777724E-2</v>
      </c>
      <c r="O110" s="24">
        <f t="shared" si="11"/>
        <v>2.4999999999999967E-2</v>
      </c>
      <c r="P110" s="22">
        <v>1</v>
      </c>
      <c r="Q110" s="25" t="s">
        <v>51</v>
      </c>
      <c r="R110" s="22" t="str">
        <f>IF(COUNTIF(fest!$A$1:$A$18,B110)&gt;0,"FESTIVO", IF(OR(WEEKDAY(B110,2)=6,WEEKDAY(B110,2)=7),"NO HÁBIL","HÁBIL"))</f>
        <v>HÁBIL</v>
      </c>
    </row>
    <row r="111" spans="1:18" ht="15.75" customHeight="1" x14ac:dyDescent="0.2">
      <c r="A111" s="22" t="s">
        <v>43</v>
      </c>
      <c r="B111" s="23">
        <v>46139</v>
      </c>
      <c r="C111" s="6" t="s">
        <v>15</v>
      </c>
      <c r="D111" s="6" t="s">
        <v>12</v>
      </c>
      <c r="E111" s="6" t="s">
        <v>13</v>
      </c>
      <c r="F111" s="6" t="s">
        <v>14</v>
      </c>
      <c r="G111" s="24">
        <v>0.29166666666666669</v>
      </c>
      <c r="H111" s="24">
        <f t="shared" si="8"/>
        <v>0.3125</v>
      </c>
      <c r="I111" s="8">
        <f t="shared" si="9"/>
        <v>2.0833333333333315E-2</v>
      </c>
      <c r="J111" s="24">
        <v>0.28888888888888886</v>
      </c>
      <c r="K111" s="24">
        <v>0.29444444444444445</v>
      </c>
      <c r="L111" s="24">
        <f t="shared" si="10"/>
        <v>5.5555555555555913E-3</v>
      </c>
      <c r="M111" s="24">
        <v>0.30902777777777779</v>
      </c>
      <c r="N111" s="8">
        <f>+M111-K111</f>
        <v>1.4583333333333337E-2</v>
      </c>
      <c r="O111" s="24">
        <f t="shared" si="11"/>
        <v>2.0138888888888928E-2</v>
      </c>
      <c r="P111" s="22">
        <v>2</v>
      </c>
      <c r="Q111" s="25" t="s">
        <v>51</v>
      </c>
      <c r="R111" s="22" t="str">
        <f>IF(COUNTIF(fest!$A$1:$A$18,B111)&gt;0,"FESTIVO", IF(OR(WEEKDAY(B111,2)=6,WEEKDAY(B111,2)=7),"NO HÁBIL","HÁBIL"))</f>
        <v>HÁBIL</v>
      </c>
    </row>
    <row r="112" spans="1:18" ht="15.75" customHeight="1" x14ac:dyDescent="0.2">
      <c r="A112" s="22" t="s">
        <v>43</v>
      </c>
      <c r="B112" s="23">
        <v>46139</v>
      </c>
      <c r="C112" s="6" t="s">
        <v>16</v>
      </c>
      <c r="D112" s="6" t="s">
        <v>12</v>
      </c>
      <c r="E112" s="6" t="s">
        <v>13</v>
      </c>
      <c r="F112" s="6" t="s">
        <v>14</v>
      </c>
      <c r="G112" s="24">
        <v>0.3125</v>
      </c>
      <c r="H112" s="24">
        <f t="shared" si="8"/>
        <v>0.71527777777777779</v>
      </c>
      <c r="I112" s="8">
        <f t="shared" si="9"/>
        <v>0.40277777777777779</v>
      </c>
      <c r="J112" s="24">
        <v>0.30902777777777779</v>
      </c>
      <c r="K112" s="24">
        <v>0.31597222222222221</v>
      </c>
      <c r="L112" s="24">
        <f t="shared" si="10"/>
        <v>6.9444444444444198E-3</v>
      </c>
      <c r="M112" s="24">
        <f>+K112+N112</f>
        <v>0.33090277777777777</v>
      </c>
      <c r="N112" s="8">
        <f>AVERAGE(N110:N111)</f>
        <v>1.493055555555553E-2</v>
      </c>
      <c r="O112" s="24">
        <f t="shared" si="11"/>
        <v>2.187499999999995E-2</v>
      </c>
      <c r="P112" s="22">
        <v>1</v>
      </c>
      <c r="Q112" s="25" t="s">
        <v>51</v>
      </c>
      <c r="R112" s="22" t="str">
        <f>IF(COUNTIF(fest!$A$1:$A$18,B112)&gt;0,"FESTIVO", IF(OR(WEEKDAY(B112,2)=6,WEEKDAY(B112,2)=7),"NO HÁBIL","HÁBIL"))</f>
        <v>HÁBIL</v>
      </c>
    </row>
    <row r="113" spans="1:18" ht="15.75" customHeight="1" x14ac:dyDescent="0.2">
      <c r="A113" s="22" t="s">
        <v>44</v>
      </c>
      <c r="B113" s="23">
        <v>46139</v>
      </c>
      <c r="C113" s="6" t="s">
        <v>11</v>
      </c>
      <c r="D113" s="6" t="s">
        <v>17</v>
      </c>
      <c r="E113" s="6" t="s">
        <v>14</v>
      </c>
      <c r="F113" s="6" t="s">
        <v>13</v>
      </c>
      <c r="G113" s="24">
        <v>0.71527777777777779</v>
      </c>
      <c r="H113" s="24">
        <f t="shared" si="8"/>
        <v>0.73958333333333337</v>
      </c>
      <c r="I113" s="8">
        <f t="shared" si="9"/>
        <v>2.430555555555558E-2</v>
      </c>
      <c r="J113" s="24">
        <v>0.70833333333333337</v>
      </c>
      <c r="K113" s="24">
        <v>0.71736111111111112</v>
      </c>
      <c r="L113" s="24">
        <f t="shared" si="10"/>
        <v>9.0277777777777457E-3</v>
      </c>
      <c r="M113" s="24">
        <v>0.74097222222222225</v>
      </c>
      <c r="N113" s="8">
        <f>+M113-K113</f>
        <v>2.3611111111111138E-2</v>
      </c>
      <c r="O113" s="24">
        <f t="shared" si="11"/>
        <v>3.2638888888888884E-2</v>
      </c>
      <c r="P113" s="22">
        <v>3</v>
      </c>
      <c r="Q113" s="25" t="s">
        <v>47</v>
      </c>
      <c r="R113" s="22" t="str">
        <f>IF(COUNTIF(fest!$A$1:$A$18,B113)&gt;0,"FESTIVO", IF(OR(WEEKDAY(B113,2)=6,WEEKDAY(B113,2)=7),"NO HÁBIL","HÁBIL"))</f>
        <v>HÁBIL</v>
      </c>
    </row>
    <row r="114" spans="1:18" ht="15.75" customHeight="1" x14ac:dyDescent="0.2">
      <c r="A114" s="22" t="s">
        <v>44</v>
      </c>
      <c r="B114" s="23">
        <v>46139</v>
      </c>
      <c r="C114" s="6" t="s">
        <v>15</v>
      </c>
      <c r="D114" s="6" t="s">
        <v>17</v>
      </c>
      <c r="E114" s="6" t="s">
        <v>14</v>
      </c>
      <c r="F114" s="6" t="s">
        <v>13</v>
      </c>
      <c r="G114" s="24">
        <v>0.73958333333333337</v>
      </c>
      <c r="H114" s="24">
        <f t="shared" si="8"/>
        <v>0.76388888888888884</v>
      </c>
      <c r="I114" s="8">
        <f t="shared" si="9"/>
        <v>2.4305555555555469E-2</v>
      </c>
      <c r="J114" s="24">
        <v>0.74097222222222225</v>
      </c>
      <c r="K114" s="24">
        <v>0.74375000000000002</v>
      </c>
      <c r="L114" s="24">
        <f t="shared" si="10"/>
        <v>2.7777777777777679E-3</v>
      </c>
      <c r="M114" s="24">
        <v>0.76249999999999996</v>
      </c>
      <c r="N114" s="8">
        <f>+M114-K114</f>
        <v>1.8749999999999933E-2</v>
      </c>
      <c r="O114" s="24">
        <f t="shared" si="11"/>
        <v>2.1527777777777701E-2</v>
      </c>
      <c r="P114" s="22">
        <v>2</v>
      </c>
      <c r="Q114" s="25" t="s">
        <v>47</v>
      </c>
      <c r="R114" s="22" t="str">
        <f>IF(COUNTIF(fest!$A$1:$A$18,B114)&gt;0,"FESTIVO", IF(OR(WEEKDAY(B114,2)=6,WEEKDAY(B114,2)=7),"NO HÁBIL","HÁBIL"))</f>
        <v>HÁBIL</v>
      </c>
    </row>
    <row r="115" spans="1:18" ht="15.75" customHeight="1" x14ac:dyDescent="0.2">
      <c r="A115" s="22" t="s">
        <v>44</v>
      </c>
      <c r="B115" s="23">
        <v>46139</v>
      </c>
      <c r="C115" s="6" t="s">
        <v>16</v>
      </c>
      <c r="D115" s="6" t="s">
        <v>17</v>
      </c>
      <c r="E115" s="6" t="s">
        <v>14</v>
      </c>
      <c r="F115" s="6" t="s">
        <v>13</v>
      </c>
      <c r="G115" s="24">
        <v>0.76388888888888884</v>
      </c>
      <c r="H115" s="24">
        <f t="shared" si="8"/>
        <v>0.27083333333333331</v>
      </c>
      <c r="I115" s="8">
        <f t="shared" si="9"/>
        <v>-0.49305555555555552</v>
      </c>
      <c r="J115" s="24">
        <v>0.76249999999999996</v>
      </c>
      <c r="K115" s="24">
        <v>0.76597222222222228</v>
      </c>
      <c r="L115" s="24">
        <f t="shared" si="10"/>
        <v>3.4722222222223209E-3</v>
      </c>
      <c r="M115" s="24">
        <f>+K115+N115</f>
        <v>0.78715277777777781</v>
      </c>
      <c r="N115" s="8">
        <f>AVERAGE(N113:N114)</f>
        <v>2.1180555555555536E-2</v>
      </c>
      <c r="O115" s="24">
        <f t="shared" si="11"/>
        <v>2.4652777777777857E-2</v>
      </c>
      <c r="P115" s="22">
        <v>5</v>
      </c>
      <c r="Q115" s="25" t="s">
        <v>47</v>
      </c>
      <c r="R115" s="22" t="str">
        <f>IF(COUNTIF(fest!$A$1:$A$18,B115)&gt;0,"FESTIVO", IF(OR(WEEKDAY(B115,2)=6,WEEKDAY(B115,2)=7),"NO HÁBIL","HÁBIL"))</f>
        <v>HÁBIL</v>
      </c>
    </row>
    <row r="116" spans="1:18" ht="15.75" customHeight="1" x14ac:dyDescent="0.2">
      <c r="A116" s="22" t="s">
        <v>43</v>
      </c>
      <c r="B116" s="23">
        <v>46140</v>
      </c>
      <c r="C116" s="6" t="s">
        <v>11</v>
      </c>
      <c r="D116" s="6" t="s">
        <v>12</v>
      </c>
      <c r="E116" s="6" t="s">
        <v>13</v>
      </c>
      <c r="F116" s="6" t="s">
        <v>14</v>
      </c>
      <c r="G116" s="24">
        <v>0.27083333333333331</v>
      </c>
      <c r="H116" s="24">
        <f t="shared" si="8"/>
        <v>0.29166666666666669</v>
      </c>
      <c r="I116" s="8">
        <f t="shared" si="9"/>
        <v>2.083333333333337E-2</v>
      </c>
      <c r="J116" s="24">
        <v>0.2638888888888889</v>
      </c>
      <c r="K116" s="24">
        <v>0.27291666666666664</v>
      </c>
      <c r="L116" s="24">
        <f t="shared" si="10"/>
        <v>9.0277777777777457E-3</v>
      </c>
      <c r="M116" s="24">
        <v>0.28958333333333336</v>
      </c>
      <c r="N116" s="8">
        <f>+M116-K116</f>
        <v>1.6666666666666718E-2</v>
      </c>
      <c r="O116" s="24">
        <f t="shared" si="11"/>
        <v>2.5694444444444464E-2</v>
      </c>
      <c r="P116" s="22">
        <v>2</v>
      </c>
      <c r="Q116" s="25" t="s">
        <v>51</v>
      </c>
      <c r="R116" s="22" t="str">
        <f>IF(COUNTIF(fest!$A$1:$A$18,B116)&gt;0,"FESTIVO", IF(OR(WEEKDAY(B116,2)=6,WEEKDAY(B116,2)=7),"NO HÁBIL","HÁBIL"))</f>
        <v>HÁBIL</v>
      </c>
    </row>
    <row r="117" spans="1:18" ht="15.75" customHeight="1" x14ac:dyDescent="0.2">
      <c r="A117" s="22" t="s">
        <v>43</v>
      </c>
      <c r="B117" s="23">
        <v>46140</v>
      </c>
      <c r="C117" s="6" t="s">
        <v>15</v>
      </c>
      <c r="D117" s="6" t="s">
        <v>12</v>
      </c>
      <c r="E117" s="6" t="s">
        <v>13</v>
      </c>
      <c r="F117" s="6" t="s">
        <v>14</v>
      </c>
      <c r="G117" s="24">
        <v>0.29166666666666669</v>
      </c>
      <c r="H117" s="24">
        <f t="shared" si="8"/>
        <v>0.3125</v>
      </c>
      <c r="I117" s="8">
        <f t="shared" si="9"/>
        <v>2.0833333333333315E-2</v>
      </c>
      <c r="J117" s="24">
        <v>0.28958333333333336</v>
      </c>
      <c r="K117" s="24">
        <v>0.29375000000000001</v>
      </c>
      <c r="L117" s="24">
        <f t="shared" si="10"/>
        <v>4.1666666666666519E-3</v>
      </c>
      <c r="M117" s="24">
        <v>0.30972222222222223</v>
      </c>
      <c r="N117" s="8">
        <f>+M117-K117</f>
        <v>1.5972222222222221E-2</v>
      </c>
      <c r="O117" s="24">
        <f t="shared" si="11"/>
        <v>2.0138888888888873E-2</v>
      </c>
      <c r="P117" s="22">
        <v>3</v>
      </c>
      <c r="Q117" s="25" t="s">
        <v>51</v>
      </c>
      <c r="R117" s="22" t="str">
        <f>IF(COUNTIF(fest!$A$1:$A$18,B117)&gt;0,"FESTIVO", IF(OR(WEEKDAY(B117,2)=6,WEEKDAY(B117,2)=7),"NO HÁBIL","HÁBIL"))</f>
        <v>HÁBIL</v>
      </c>
    </row>
    <row r="118" spans="1:18" ht="15.75" customHeight="1" x14ac:dyDescent="0.2">
      <c r="A118" s="22" t="s">
        <v>43</v>
      </c>
      <c r="B118" s="23">
        <v>46140</v>
      </c>
      <c r="C118" s="6" t="s">
        <v>16</v>
      </c>
      <c r="D118" s="6" t="s">
        <v>12</v>
      </c>
      <c r="E118" s="6" t="s">
        <v>13</v>
      </c>
      <c r="F118" s="6" t="s">
        <v>14</v>
      </c>
      <c r="G118" s="24">
        <v>0.3125</v>
      </c>
      <c r="H118" s="24">
        <f t="shared" si="8"/>
        <v>0.71527777777777779</v>
      </c>
      <c r="I118" s="8">
        <f t="shared" si="9"/>
        <v>0.40277777777777779</v>
      </c>
      <c r="J118" s="24">
        <v>0.30972222222222223</v>
      </c>
      <c r="K118" s="24">
        <v>0.32222222222222224</v>
      </c>
      <c r="L118" s="24">
        <f t="shared" si="10"/>
        <v>1.2500000000000011E-2</v>
      </c>
      <c r="M118" s="24">
        <f>+K118+N118</f>
        <v>0.33854166666666674</v>
      </c>
      <c r="N118" s="8">
        <f>AVERAGE(N116:N117)</f>
        <v>1.631944444444447E-2</v>
      </c>
      <c r="O118" s="24">
        <f t="shared" si="11"/>
        <v>2.8819444444444481E-2</v>
      </c>
      <c r="P118" s="22">
        <v>0</v>
      </c>
      <c r="Q118" s="25" t="s">
        <v>51</v>
      </c>
      <c r="R118" s="22" t="str">
        <f>IF(COUNTIF(fest!$A$1:$A$18,B118)&gt;0,"FESTIVO", IF(OR(WEEKDAY(B118,2)=6,WEEKDAY(B118,2)=7),"NO HÁBIL","HÁBIL"))</f>
        <v>HÁBIL</v>
      </c>
    </row>
    <row r="119" spans="1:18" ht="15.75" customHeight="1" x14ac:dyDescent="0.2">
      <c r="A119" s="22" t="s">
        <v>44</v>
      </c>
      <c r="B119" s="23">
        <v>46140</v>
      </c>
      <c r="C119" s="6" t="s">
        <v>11</v>
      </c>
      <c r="D119" s="6" t="s">
        <v>17</v>
      </c>
      <c r="E119" s="6" t="s">
        <v>14</v>
      </c>
      <c r="F119" s="6" t="s">
        <v>13</v>
      </c>
      <c r="G119" s="24">
        <v>0.71527777777777779</v>
      </c>
      <c r="H119" s="24">
        <f t="shared" si="8"/>
        <v>0.73958333333333337</v>
      </c>
      <c r="I119" s="8">
        <f t="shared" si="9"/>
        <v>2.430555555555558E-2</v>
      </c>
      <c r="J119" s="24">
        <v>0.70833333333333337</v>
      </c>
      <c r="K119" s="24">
        <v>0.71736111111111112</v>
      </c>
      <c r="L119" s="24">
        <f t="shared" si="10"/>
        <v>9.0277777777777457E-3</v>
      </c>
      <c r="M119" s="24">
        <v>0.76666666666666672</v>
      </c>
      <c r="N119" s="8">
        <f>+M119-K119</f>
        <v>4.9305555555555602E-2</v>
      </c>
      <c r="O119" s="24">
        <f t="shared" si="11"/>
        <v>5.8333333333333348E-2</v>
      </c>
      <c r="P119" s="22">
        <v>5</v>
      </c>
      <c r="Q119" s="25" t="s">
        <v>48</v>
      </c>
      <c r="R119" s="22" t="str">
        <f>IF(COUNTIF(fest!$A$1:$A$18,B119)&gt;0,"FESTIVO", IF(OR(WEEKDAY(B119,2)=6,WEEKDAY(B119,2)=7),"NO HÁBIL","HÁBIL"))</f>
        <v>HÁBIL</v>
      </c>
    </row>
    <row r="120" spans="1:18" ht="15.75" customHeight="1" x14ac:dyDescent="0.2">
      <c r="A120" s="22" t="s">
        <v>44</v>
      </c>
      <c r="B120" s="23">
        <v>46140</v>
      </c>
      <c r="C120" s="6" t="s">
        <v>15</v>
      </c>
      <c r="D120" s="6" t="s">
        <v>17</v>
      </c>
      <c r="E120" s="6" t="s">
        <v>14</v>
      </c>
      <c r="F120" s="6" t="s">
        <v>13</v>
      </c>
      <c r="G120" s="24">
        <v>0.73958333333333337</v>
      </c>
      <c r="H120" s="24">
        <f t="shared" si="8"/>
        <v>0.76388888888888884</v>
      </c>
      <c r="I120" s="8">
        <f t="shared" si="9"/>
        <v>2.4305555555555469E-2</v>
      </c>
      <c r="J120" s="24">
        <v>0</v>
      </c>
      <c r="K120" s="24">
        <v>0</v>
      </c>
      <c r="L120" s="24">
        <f t="shared" si="10"/>
        <v>0</v>
      </c>
      <c r="M120" s="24">
        <v>0</v>
      </c>
      <c r="N120" s="8">
        <f>+M120-K120</f>
        <v>0</v>
      </c>
      <c r="O120" s="24">
        <f t="shared" si="11"/>
        <v>0</v>
      </c>
      <c r="P120" s="22">
        <v>0</v>
      </c>
      <c r="Q120" s="25" t="s">
        <v>46</v>
      </c>
      <c r="R120" s="22" t="str">
        <f>IF(COUNTIF(fest!$A$1:$A$18,B120)&gt;0,"FESTIVO", IF(OR(WEEKDAY(B120,2)=6,WEEKDAY(B120,2)=7),"NO HÁBIL","HÁBIL"))</f>
        <v>HÁBIL</v>
      </c>
    </row>
    <row r="121" spans="1:18" ht="15.75" customHeight="1" x14ac:dyDescent="0.2">
      <c r="A121" s="22" t="s">
        <v>44</v>
      </c>
      <c r="B121" s="23">
        <v>46140</v>
      </c>
      <c r="C121" s="6" t="s">
        <v>16</v>
      </c>
      <c r="D121" s="6" t="s">
        <v>17</v>
      </c>
      <c r="E121" s="6" t="s">
        <v>14</v>
      </c>
      <c r="F121" s="6" t="s">
        <v>13</v>
      </c>
      <c r="G121" s="24">
        <v>0.76388888888888884</v>
      </c>
      <c r="H121" s="24">
        <f t="shared" si="8"/>
        <v>0.27083333333333331</v>
      </c>
      <c r="I121" s="8">
        <f t="shared" si="9"/>
        <v>-0.49305555555555552</v>
      </c>
      <c r="J121" s="24">
        <v>0.76666666666666672</v>
      </c>
      <c r="K121" s="24">
        <v>0.77013888888888893</v>
      </c>
      <c r="L121" s="24">
        <f t="shared" si="10"/>
        <v>3.4722222222222099E-3</v>
      </c>
      <c r="M121" s="24">
        <f>+K121+N121</f>
        <v>0.79479166666666679</v>
      </c>
      <c r="N121" s="8">
        <f>AVERAGE(N119:N120)</f>
        <v>2.4652777777777801E-2</v>
      </c>
      <c r="O121" s="24">
        <f t="shared" si="11"/>
        <v>2.8125000000000011E-2</v>
      </c>
      <c r="P121" s="22">
        <v>4</v>
      </c>
      <c r="Q121" s="25" t="s">
        <v>48</v>
      </c>
      <c r="R121" s="22" t="str">
        <f>IF(COUNTIF(fest!$A$1:$A$18,B121)&gt;0,"FESTIVO", IF(OR(WEEKDAY(B121,2)=6,WEEKDAY(B121,2)=7),"NO HÁBIL","HÁBIL"))</f>
        <v>HÁBIL</v>
      </c>
    </row>
    <row r="122" spans="1:18" ht="15.75" customHeight="1" x14ac:dyDescent="0.2">
      <c r="A122" s="22" t="s">
        <v>43</v>
      </c>
      <c r="B122" s="23">
        <v>46141</v>
      </c>
      <c r="C122" s="6" t="s">
        <v>11</v>
      </c>
      <c r="D122" s="6" t="s">
        <v>12</v>
      </c>
      <c r="E122" s="6" t="s">
        <v>13</v>
      </c>
      <c r="F122" s="6" t="s">
        <v>14</v>
      </c>
      <c r="G122" s="24">
        <v>0.27083333333333331</v>
      </c>
      <c r="H122" s="24">
        <f t="shared" si="8"/>
        <v>0.29166666666666669</v>
      </c>
      <c r="I122" s="8">
        <f t="shared" si="9"/>
        <v>2.083333333333337E-2</v>
      </c>
      <c r="J122" s="24">
        <v>0.2638888888888889</v>
      </c>
      <c r="K122" s="24">
        <v>0.27777777777777779</v>
      </c>
      <c r="L122" s="24">
        <f t="shared" si="10"/>
        <v>1.3888888888888895E-2</v>
      </c>
      <c r="M122" s="24">
        <v>0.28888888888888886</v>
      </c>
      <c r="N122" s="8">
        <f>+M122-K122</f>
        <v>1.1111111111111072E-2</v>
      </c>
      <c r="O122" s="24">
        <f t="shared" si="11"/>
        <v>2.4999999999999967E-2</v>
      </c>
      <c r="P122" s="22">
        <v>0</v>
      </c>
      <c r="Q122" s="25" t="s">
        <v>51</v>
      </c>
      <c r="R122" s="22" t="str">
        <f>IF(COUNTIF(fest!$A$1:$A$18,B122)&gt;0,"FESTIVO", IF(OR(WEEKDAY(B122,2)=6,WEEKDAY(B122,2)=7),"NO HÁBIL","HÁBIL"))</f>
        <v>HÁBIL</v>
      </c>
    </row>
    <row r="123" spans="1:18" ht="15.75" customHeight="1" x14ac:dyDescent="0.2">
      <c r="A123" s="22" t="s">
        <v>43</v>
      </c>
      <c r="B123" s="23">
        <v>46141</v>
      </c>
      <c r="C123" s="6" t="s">
        <v>15</v>
      </c>
      <c r="D123" s="6" t="s">
        <v>12</v>
      </c>
      <c r="E123" s="6" t="s">
        <v>13</v>
      </c>
      <c r="F123" s="6" t="s">
        <v>14</v>
      </c>
      <c r="G123" s="24">
        <v>0.29166666666666669</v>
      </c>
      <c r="H123" s="24">
        <f t="shared" si="8"/>
        <v>0.3125</v>
      </c>
      <c r="I123" s="8">
        <f t="shared" si="9"/>
        <v>2.0833333333333315E-2</v>
      </c>
      <c r="J123" s="24">
        <v>0.28888888888888886</v>
      </c>
      <c r="K123" s="24">
        <v>0.29375000000000001</v>
      </c>
      <c r="L123" s="24">
        <f t="shared" si="10"/>
        <v>4.8611111111111494E-3</v>
      </c>
      <c r="M123" s="24">
        <v>0.31111111111111112</v>
      </c>
      <c r="N123" s="8">
        <f>+M123-K123</f>
        <v>1.7361111111111105E-2</v>
      </c>
      <c r="O123" s="24">
        <f t="shared" si="11"/>
        <v>2.2222222222222254E-2</v>
      </c>
      <c r="P123" s="22">
        <v>3</v>
      </c>
      <c r="Q123" s="25" t="s">
        <v>51</v>
      </c>
      <c r="R123" s="22" t="str">
        <f>IF(COUNTIF(fest!$A$1:$A$18,B123)&gt;0,"FESTIVO", IF(OR(WEEKDAY(B123,2)=6,WEEKDAY(B123,2)=7),"NO HÁBIL","HÁBIL"))</f>
        <v>HÁBIL</v>
      </c>
    </row>
    <row r="124" spans="1:18" ht="15.75" customHeight="1" x14ac:dyDescent="0.2">
      <c r="A124" s="22" t="s">
        <v>43</v>
      </c>
      <c r="B124" s="23">
        <v>46141</v>
      </c>
      <c r="C124" s="6" t="s">
        <v>16</v>
      </c>
      <c r="D124" s="6" t="s">
        <v>12</v>
      </c>
      <c r="E124" s="6" t="s">
        <v>13</v>
      </c>
      <c r="F124" s="6" t="s">
        <v>14</v>
      </c>
      <c r="G124" s="24">
        <v>0.3125</v>
      </c>
      <c r="H124" s="24">
        <f t="shared" si="8"/>
        <v>0.71527777777777779</v>
      </c>
      <c r="I124" s="8">
        <f t="shared" si="9"/>
        <v>0.40277777777777779</v>
      </c>
      <c r="J124" s="24">
        <v>0.31111111111111112</v>
      </c>
      <c r="K124" s="24">
        <v>0.32013888888888886</v>
      </c>
      <c r="L124" s="24">
        <f t="shared" si="10"/>
        <v>9.0277777777777457E-3</v>
      </c>
      <c r="M124" s="24">
        <f>+K124+N124</f>
        <v>0.33437499999999998</v>
      </c>
      <c r="N124" s="8">
        <f>AVERAGE(N122:N123)</f>
        <v>1.4236111111111088E-2</v>
      </c>
      <c r="O124" s="24">
        <f t="shared" si="11"/>
        <v>2.3263888888888834E-2</v>
      </c>
      <c r="P124" s="22">
        <v>0</v>
      </c>
      <c r="Q124" s="25" t="s">
        <v>51</v>
      </c>
      <c r="R124" s="22" t="str">
        <f>IF(COUNTIF(fest!$A$1:$A$18,B124)&gt;0,"FESTIVO", IF(OR(WEEKDAY(B124,2)=6,WEEKDAY(B124,2)=7),"NO HÁBIL","HÁBIL"))</f>
        <v>HÁBIL</v>
      </c>
    </row>
    <row r="125" spans="1:18" ht="15.75" customHeight="1" x14ac:dyDescent="0.2">
      <c r="A125" s="22" t="s">
        <v>44</v>
      </c>
      <c r="B125" s="23">
        <v>46141</v>
      </c>
      <c r="C125" s="6" t="s">
        <v>11</v>
      </c>
      <c r="D125" s="6" t="s">
        <v>17</v>
      </c>
      <c r="E125" s="6" t="s">
        <v>14</v>
      </c>
      <c r="F125" s="6" t="s">
        <v>13</v>
      </c>
      <c r="G125" s="24">
        <v>0.71527777777777779</v>
      </c>
      <c r="H125" s="24">
        <f t="shared" si="8"/>
        <v>0.73958333333333337</v>
      </c>
      <c r="I125" s="8">
        <f t="shared" si="9"/>
        <v>2.430555555555558E-2</v>
      </c>
      <c r="J125" s="24">
        <v>0.70833333333333337</v>
      </c>
      <c r="K125" s="24">
        <v>0.71805555555555556</v>
      </c>
      <c r="L125" s="24">
        <f t="shared" si="10"/>
        <v>9.7222222222221877E-3</v>
      </c>
      <c r="M125" s="24">
        <v>0.74791666666666667</v>
      </c>
      <c r="N125" s="8">
        <f>+M125-K125</f>
        <v>2.9861111111111116E-2</v>
      </c>
      <c r="O125" s="24">
        <f t="shared" si="11"/>
        <v>3.9583333333333304E-2</v>
      </c>
      <c r="P125" s="22">
        <v>9</v>
      </c>
      <c r="Q125" s="25" t="s">
        <v>48</v>
      </c>
      <c r="R125" s="22" t="str">
        <f>IF(COUNTIF(fest!$A$1:$A$18,B125)&gt;0,"FESTIVO", IF(OR(WEEKDAY(B125,2)=6,WEEKDAY(B125,2)=7),"NO HÁBIL","HÁBIL"))</f>
        <v>HÁBIL</v>
      </c>
    </row>
    <row r="126" spans="1:18" ht="15.75" customHeight="1" x14ac:dyDescent="0.2">
      <c r="A126" s="22" t="s">
        <v>44</v>
      </c>
      <c r="B126" s="23">
        <v>46141</v>
      </c>
      <c r="C126" s="6" t="s">
        <v>15</v>
      </c>
      <c r="D126" s="6" t="s">
        <v>17</v>
      </c>
      <c r="E126" s="6" t="s">
        <v>14</v>
      </c>
      <c r="F126" s="6" t="s">
        <v>13</v>
      </c>
      <c r="G126" s="24">
        <v>0.73958333333333337</v>
      </c>
      <c r="H126" s="24">
        <f t="shared" si="8"/>
        <v>0.76388888888888884</v>
      </c>
      <c r="I126" s="8">
        <f t="shared" si="9"/>
        <v>2.4305555555555469E-2</v>
      </c>
      <c r="J126" s="24">
        <v>0.74791666666666667</v>
      </c>
      <c r="K126" s="24">
        <v>0.75138888888888888</v>
      </c>
      <c r="L126" s="24">
        <f t="shared" si="10"/>
        <v>3.4722222222222099E-3</v>
      </c>
      <c r="M126" s="24">
        <v>0.76041666666666663</v>
      </c>
      <c r="N126" s="8">
        <f>+M126-K126</f>
        <v>9.0277777777777457E-3</v>
      </c>
      <c r="O126" s="24">
        <f t="shared" si="11"/>
        <v>1.2499999999999956E-2</v>
      </c>
      <c r="P126" s="22">
        <v>0</v>
      </c>
      <c r="Q126" s="25" t="s">
        <v>45</v>
      </c>
      <c r="R126" s="22" t="str">
        <f>IF(COUNTIF(fest!$A$1:$A$18,B126)&gt;0,"FESTIVO", IF(OR(WEEKDAY(B126,2)=6,WEEKDAY(B126,2)=7),"NO HÁBIL","HÁBIL"))</f>
        <v>HÁBIL</v>
      </c>
    </row>
    <row r="127" spans="1:18" ht="15.75" customHeight="1" x14ac:dyDescent="0.2">
      <c r="A127" s="22" t="s">
        <v>44</v>
      </c>
      <c r="B127" s="23">
        <v>46141</v>
      </c>
      <c r="C127" s="6" t="s">
        <v>16</v>
      </c>
      <c r="D127" s="6" t="s">
        <v>17</v>
      </c>
      <c r="E127" s="6" t="s">
        <v>14</v>
      </c>
      <c r="F127" s="6" t="s">
        <v>13</v>
      </c>
      <c r="G127" s="24">
        <v>0.76388888888888884</v>
      </c>
      <c r="H127" s="24">
        <f t="shared" si="8"/>
        <v>0.27083333333333331</v>
      </c>
      <c r="I127" s="8">
        <f t="shared" si="9"/>
        <v>-0.49305555555555552</v>
      </c>
      <c r="J127" s="24">
        <v>0.76041666666666663</v>
      </c>
      <c r="K127" s="24">
        <v>0.76666666666666672</v>
      </c>
      <c r="L127" s="24">
        <f t="shared" si="10"/>
        <v>6.2500000000000888E-3</v>
      </c>
      <c r="M127" s="24">
        <f>+K127+N127</f>
        <v>0.7861111111111112</v>
      </c>
      <c r="N127" s="8">
        <f>AVERAGE(N125:N126)</f>
        <v>1.9444444444444431E-2</v>
      </c>
      <c r="O127" s="24">
        <f t="shared" si="11"/>
        <v>2.569444444444452E-2</v>
      </c>
      <c r="P127" s="22">
        <v>3</v>
      </c>
      <c r="Q127" s="25" t="s">
        <v>47</v>
      </c>
      <c r="R127" s="22" t="str">
        <f>IF(COUNTIF(fest!$A$1:$A$18,B127)&gt;0,"FESTIVO", IF(OR(WEEKDAY(B127,2)=6,WEEKDAY(B127,2)=7),"NO HÁBIL","HÁBIL"))</f>
        <v>HÁBIL</v>
      </c>
    </row>
    <row r="128" spans="1:18" ht="15.75" customHeight="1" x14ac:dyDescent="0.2">
      <c r="A128" s="22" t="s">
        <v>43</v>
      </c>
      <c r="B128" s="23">
        <v>46142</v>
      </c>
      <c r="C128" s="6" t="s">
        <v>11</v>
      </c>
      <c r="D128" s="6" t="s">
        <v>12</v>
      </c>
      <c r="E128" s="6" t="s">
        <v>13</v>
      </c>
      <c r="F128" s="6" t="s">
        <v>14</v>
      </c>
      <c r="G128" s="24">
        <v>0.27083333333333331</v>
      </c>
      <c r="H128" s="24">
        <f t="shared" si="8"/>
        <v>0.29166666666666669</v>
      </c>
      <c r="I128" s="8">
        <f t="shared" si="9"/>
        <v>2.083333333333337E-2</v>
      </c>
      <c r="J128" s="24">
        <v>0.26458333333333334</v>
      </c>
      <c r="K128" s="24">
        <v>0.27291666666666664</v>
      </c>
      <c r="L128" s="24">
        <f t="shared" si="10"/>
        <v>8.3333333333333037E-3</v>
      </c>
      <c r="M128" s="24">
        <v>0.28819444444444442</v>
      </c>
      <c r="N128" s="8">
        <f>+M128-K128</f>
        <v>1.5277777777777779E-2</v>
      </c>
      <c r="O128" s="24">
        <f t="shared" si="11"/>
        <v>2.3611111111111083E-2</v>
      </c>
      <c r="P128" s="22">
        <v>3</v>
      </c>
      <c r="Q128" s="25" t="s">
        <v>51</v>
      </c>
      <c r="R128" s="22" t="str">
        <f>IF(COUNTIF(fest!$A$1:$A$18,B128)&gt;0,"FESTIVO", IF(OR(WEEKDAY(B128,2)=6,WEEKDAY(B128,2)=7),"NO HÁBIL","HÁBIL"))</f>
        <v>HÁBIL</v>
      </c>
    </row>
    <row r="129" spans="1:18" ht="15.75" customHeight="1" x14ac:dyDescent="0.2">
      <c r="A129" s="22" t="s">
        <v>43</v>
      </c>
      <c r="B129" s="23">
        <v>46142</v>
      </c>
      <c r="C129" s="6" t="s">
        <v>15</v>
      </c>
      <c r="D129" s="6" t="s">
        <v>12</v>
      </c>
      <c r="E129" s="6" t="s">
        <v>13</v>
      </c>
      <c r="F129" s="6" t="s">
        <v>14</v>
      </c>
      <c r="G129" s="24">
        <v>0.29166666666666669</v>
      </c>
      <c r="H129" s="24">
        <f t="shared" si="8"/>
        <v>0.3125</v>
      </c>
      <c r="I129" s="8">
        <f t="shared" si="9"/>
        <v>2.0833333333333315E-2</v>
      </c>
      <c r="J129" s="24">
        <v>0.28819444444444442</v>
      </c>
      <c r="K129" s="24">
        <v>0.29375000000000001</v>
      </c>
      <c r="L129" s="24">
        <f t="shared" si="10"/>
        <v>5.5555555555555913E-3</v>
      </c>
      <c r="M129" s="24">
        <v>0.30972222222222223</v>
      </c>
      <c r="N129" s="8">
        <f>+M129-K129</f>
        <v>1.5972222222222221E-2</v>
      </c>
      <c r="O129" s="24">
        <f t="shared" si="11"/>
        <v>2.1527777777777812E-2</v>
      </c>
      <c r="P129" s="22">
        <v>4</v>
      </c>
      <c r="Q129" s="25" t="s">
        <v>51</v>
      </c>
      <c r="R129" s="22" t="str">
        <f>IF(COUNTIF(fest!$A$1:$A$18,B129)&gt;0,"FESTIVO", IF(OR(WEEKDAY(B129,2)=6,WEEKDAY(B129,2)=7),"NO HÁBIL","HÁBIL"))</f>
        <v>HÁBIL</v>
      </c>
    </row>
    <row r="130" spans="1:18" ht="15.75" customHeight="1" x14ac:dyDescent="0.2">
      <c r="A130" s="22" t="s">
        <v>43</v>
      </c>
      <c r="B130" s="23">
        <v>46142</v>
      </c>
      <c r="C130" s="6" t="s">
        <v>16</v>
      </c>
      <c r="D130" s="6" t="s">
        <v>12</v>
      </c>
      <c r="E130" s="6" t="s">
        <v>13</v>
      </c>
      <c r="F130" s="6" t="s">
        <v>14</v>
      </c>
      <c r="G130" s="24">
        <v>0.3125</v>
      </c>
      <c r="H130" s="24">
        <f t="shared" si="8"/>
        <v>0.71527777777777779</v>
      </c>
      <c r="I130" s="8">
        <f t="shared" si="9"/>
        <v>0.40277777777777779</v>
      </c>
      <c r="J130" s="24">
        <v>0.30972222222222223</v>
      </c>
      <c r="K130" s="24">
        <v>0.31597222222222221</v>
      </c>
      <c r="L130" s="24">
        <f t="shared" ref="L130:L193" si="12">+K130-J130</f>
        <v>6.2499999999999778E-3</v>
      </c>
      <c r="M130" s="24">
        <f>+K130+N130</f>
        <v>0.33159722222222221</v>
      </c>
      <c r="N130" s="8">
        <f>AVERAGE(N128:N129)</f>
        <v>1.5625E-2</v>
      </c>
      <c r="O130" s="24">
        <f t="shared" ref="O130:O193" si="13">+L130+N130</f>
        <v>2.1874999999999978E-2</v>
      </c>
      <c r="P130" s="22">
        <v>4</v>
      </c>
      <c r="Q130" s="25" t="s">
        <v>51</v>
      </c>
      <c r="R130" s="22" t="str">
        <f>IF(COUNTIF(fest!$A$1:$A$18,B130)&gt;0,"FESTIVO", IF(OR(WEEKDAY(B130,2)=6,WEEKDAY(B130,2)=7),"NO HÁBIL","HÁBIL"))</f>
        <v>HÁBIL</v>
      </c>
    </row>
    <row r="131" spans="1:18" ht="15.75" customHeight="1" x14ac:dyDescent="0.2">
      <c r="A131" s="22" t="s">
        <v>44</v>
      </c>
      <c r="B131" s="23">
        <v>46142</v>
      </c>
      <c r="C131" s="6" t="s">
        <v>11</v>
      </c>
      <c r="D131" s="6" t="s">
        <v>17</v>
      </c>
      <c r="E131" s="6" t="s">
        <v>14</v>
      </c>
      <c r="F131" s="6" t="s">
        <v>13</v>
      </c>
      <c r="G131" s="24">
        <v>0.71527777777777779</v>
      </c>
      <c r="H131" s="24">
        <f t="shared" ref="H131:H194" si="14">+G131+I131</f>
        <v>0.73958333333333337</v>
      </c>
      <c r="I131" s="8">
        <f t="shared" ref="I131:I194" si="15">+G132-G131</f>
        <v>2.430555555555558E-2</v>
      </c>
      <c r="J131" s="24">
        <v>0.70833333333333337</v>
      </c>
      <c r="K131" s="24">
        <v>0.71875</v>
      </c>
      <c r="L131" s="24">
        <f t="shared" si="12"/>
        <v>1.041666666666663E-2</v>
      </c>
      <c r="M131" s="24">
        <v>0.75763888888888886</v>
      </c>
      <c r="N131" s="8">
        <f>+M131-K131</f>
        <v>3.8888888888888862E-2</v>
      </c>
      <c r="O131" s="24">
        <f t="shared" si="13"/>
        <v>4.9305555555555491E-2</v>
      </c>
      <c r="P131" s="22">
        <v>2</v>
      </c>
      <c r="Q131" s="25" t="s">
        <v>47</v>
      </c>
      <c r="R131" s="22" t="str">
        <f>IF(COUNTIF(fest!$A$1:$A$18,B131)&gt;0,"FESTIVO", IF(OR(WEEKDAY(B131,2)=6,WEEKDAY(B131,2)=7),"NO HÁBIL","HÁBIL"))</f>
        <v>HÁBIL</v>
      </c>
    </row>
    <row r="132" spans="1:18" ht="15.75" customHeight="1" x14ac:dyDescent="0.2">
      <c r="A132" s="22" t="s">
        <v>44</v>
      </c>
      <c r="B132" s="23">
        <v>46142</v>
      </c>
      <c r="C132" s="6" t="s">
        <v>15</v>
      </c>
      <c r="D132" s="6" t="s">
        <v>17</v>
      </c>
      <c r="E132" s="6" t="s">
        <v>14</v>
      </c>
      <c r="F132" s="6" t="s">
        <v>13</v>
      </c>
      <c r="G132" s="24">
        <v>0.73958333333333337</v>
      </c>
      <c r="H132" s="24">
        <f t="shared" si="14"/>
        <v>0.76388888888888884</v>
      </c>
      <c r="I132" s="8">
        <f t="shared" si="15"/>
        <v>2.4305555555555469E-2</v>
      </c>
      <c r="J132" s="24">
        <v>0</v>
      </c>
      <c r="K132" s="24">
        <v>0</v>
      </c>
      <c r="L132" s="24">
        <f t="shared" si="12"/>
        <v>0</v>
      </c>
      <c r="M132" s="24">
        <v>0</v>
      </c>
      <c r="N132" s="8">
        <f>+M132-K132</f>
        <v>0</v>
      </c>
      <c r="O132" s="24">
        <f t="shared" si="13"/>
        <v>0</v>
      </c>
      <c r="P132" s="22">
        <v>0</v>
      </c>
      <c r="Q132" s="25" t="s">
        <v>46</v>
      </c>
      <c r="R132" s="22" t="str">
        <f>IF(COUNTIF(fest!$A$1:$A$18,B132)&gt;0,"FESTIVO", IF(OR(WEEKDAY(B132,2)=6,WEEKDAY(B132,2)=7),"NO HÁBIL","HÁBIL"))</f>
        <v>HÁBIL</v>
      </c>
    </row>
    <row r="133" spans="1:18" ht="15.75" customHeight="1" x14ac:dyDescent="0.2">
      <c r="A133" s="22" t="s">
        <v>44</v>
      </c>
      <c r="B133" s="23">
        <v>46142</v>
      </c>
      <c r="C133" s="6" t="s">
        <v>16</v>
      </c>
      <c r="D133" s="6" t="s">
        <v>17</v>
      </c>
      <c r="E133" s="6" t="s">
        <v>14</v>
      </c>
      <c r="F133" s="6" t="s">
        <v>13</v>
      </c>
      <c r="G133" s="24">
        <v>0.76388888888888884</v>
      </c>
      <c r="H133" s="24">
        <f t="shared" si="14"/>
        <v>0.27083333333333331</v>
      </c>
      <c r="I133" s="8">
        <f t="shared" si="15"/>
        <v>-0.49305555555555552</v>
      </c>
      <c r="J133" s="24">
        <v>0.75763888888888886</v>
      </c>
      <c r="K133" s="24">
        <v>0.76597222222222228</v>
      </c>
      <c r="L133" s="24">
        <f t="shared" si="12"/>
        <v>8.3333333333334147E-3</v>
      </c>
      <c r="M133" s="24">
        <f>+K133+N133</f>
        <v>0.78541666666666665</v>
      </c>
      <c r="N133" s="8">
        <f>AVERAGE(N131:N132)</f>
        <v>1.9444444444444431E-2</v>
      </c>
      <c r="O133" s="24">
        <f t="shared" si="13"/>
        <v>2.7777777777777846E-2</v>
      </c>
      <c r="P133" s="22">
        <v>3</v>
      </c>
      <c r="Q133" s="25" t="s">
        <v>47</v>
      </c>
      <c r="R133" s="22" t="str">
        <f>IF(COUNTIF(fest!$A$1:$A$18,B133)&gt;0,"FESTIVO", IF(OR(WEEKDAY(B133,2)=6,WEEKDAY(B133,2)=7),"NO HÁBIL","HÁBIL"))</f>
        <v>HÁBIL</v>
      </c>
    </row>
    <row r="134" spans="1:18" ht="15.75" customHeight="1" x14ac:dyDescent="0.2">
      <c r="A134" s="22" t="s">
        <v>43</v>
      </c>
      <c r="B134" s="23">
        <v>46146</v>
      </c>
      <c r="C134" s="6" t="s">
        <v>11</v>
      </c>
      <c r="D134" s="6" t="s">
        <v>12</v>
      </c>
      <c r="E134" s="6" t="s">
        <v>13</v>
      </c>
      <c r="F134" s="6" t="s">
        <v>14</v>
      </c>
      <c r="G134" s="24">
        <v>0.27083333333333331</v>
      </c>
      <c r="H134" s="24">
        <f t="shared" si="14"/>
        <v>0.29166666666666669</v>
      </c>
      <c r="I134" s="8">
        <f t="shared" si="15"/>
        <v>2.083333333333337E-2</v>
      </c>
      <c r="J134" s="24">
        <v>0.26458333333333334</v>
      </c>
      <c r="K134" s="24">
        <v>0.27291666666666664</v>
      </c>
      <c r="L134" s="24">
        <f t="shared" si="12"/>
        <v>8.3333333333333037E-3</v>
      </c>
      <c r="M134" s="24">
        <v>0.2902777777777778</v>
      </c>
      <c r="N134" s="8">
        <f>+M134-K134</f>
        <v>1.736111111111116E-2</v>
      </c>
      <c r="O134" s="24">
        <f t="shared" si="13"/>
        <v>2.5694444444444464E-2</v>
      </c>
      <c r="P134" s="22">
        <v>2</v>
      </c>
      <c r="Q134" s="25" t="s">
        <v>51</v>
      </c>
      <c r="R134" s="22" t="str">
        <f>IF(COUNTIF(fest!$A$1:$A$18,B134)&gt;0,"FESTIVO", IF(OR(WEEKDAY(B134,2)=6,WEEKDAY(B134,2)=7),"NO HÁBIL","HÁBIL"))</f>
        <v>HÁBIL</v>
      </c>
    </row>
    <row r="135" spans="1:18" ht="15.75" customHeight="1" x14ac:dyDescent="0.2">
      <c r="A135" s="22" t="s">
        <v>43</v>
      </c>
      <c r="B135" s="23">
        <v>46146</v>
      </c>
      <c r="C135" s="6" t="s">
        <v>15</v>
      </c>
      <c r="D135" s="6" t="s">
        <v>12</v>
      </c>
      <c r="E135" s="6" t="s">
        <v>13</v>
      </c>
      <c r="F135" s="6" t="s">
        <v>14</v>
      </c>
      <c r="G135" s="24">
        <v>0.29166666666666669</v>
      </c>
      <c r="H135" s="24">
        <f t="shared" si="14"/>
        <v>0.3125</v>
      </c>
      <c r="I135" s="8">
        <f t="shared" si="15"/>
        <v>2.0833333333333315E-2</v>
      </c>
      <c r="J135" s="24">
        <v>0.2902777777777778</v>
      </c>
      <c r="K135" s="24">
        <v>0.29375000000000001</v>
      </c>
      <c r="L135" s="24">
        <f t="shared" si="12"/>
        <v>3.4722222222222099E-3</v>
      </c>
      <c r="M135" s="24">
        <v>0.30972222222222223</v>
      </c>
      <c r="N135" s="8">
        <f>+M135-K135</f>
        <v>1.5972222222222221E-2</v>
      </c>
      <c r="O135" s="24">
        <f t="shared" si="13"/>
        <v>1.9444444444444431E-2</v>
      </c>
      <c r="P135" s="22">
        <v>3</v>
      </c>
      <c r="Q135" s="25" t="s">
        <v>51</v>
      </c>
      <c r="R135" s="22" t="str">
        <f>IF(COUNTIF(fest!$A$1:$A$18,B135)&gt;0,"FESTIVO", IF(OR(WEEKDAY(B135,2)=6,WEEKDAY(B135,2)=7),"NO HÁBIL","HÁBIL"))</f>
        <v>HÁBIL</v>
      </c>
    </row>
    <row r="136" spans="1:18" ht="15.75" customHeight="1" x14ac:dyDescent="0.2">
      <c r="A136" s="22" t="s">
        <v>43</v>
      </c>
      <c r="B136" s="23">
        <v>46146</v>
      </c>
      <c r="C136" s="6" t="s">
        <v>16</v>
      </c>
      <c r="D136" s="6" t="s">
        <v>12</v>
      </c>
      <c r="E136" s="6" t="s">
        <v>13</v>
      </c>
      <c r="F136" s="6" t="s">
        <v>14</v>
      </c>
      <c r="G136" s="24">
        <v>0.3125</v>
      </c>
      <c r="H136" s="24">
        <f t="shared" si="14"/>
        <v>0.71527777777777779</v>
      </c>
      <c r="I136" s="8">
        <f t="shared" si="15"/>
        <v>0.40277777777777779</v>
      </c>
      <c r="J136" s="24">
        <v>0.30972222222222223</v>
      </c>
      <c r="K136" s="24">
        <v>0.31527777777777777</v>
      </c>
      <c r="L136" s="24">
        <f t="shared" si="12"/>
        <v>5.5555555555555358E-3</v>
      </c>
      <c r="M136" s="24">
        <f>+K136+N136</f>
        <v>0.33194444444444449</v>
      </c>
      <c r="N136" s="8">
        <f>AVERAGE(N134:N135)</f>
        <v>1.6666666666666691E-2</v>
      </c>
      <c r="O136" s="24">
        <f t="shared" si="13"/>
        <v>2.2222222222222227E-2</v>
      </c>
      <c r="P136" s="22">
        <v>1</v>
      </c>
      <c r="Q136" s="25" t="s">
        <v>51</v>
      </c>
      <c r="R136" s="22" t="str">
        <f>IF(COUNTIF(fest!$A$1:$A$18,B136)&gt;0,"FESTIVO", IF(OR(WEEKDAY(B136,2)=6,WEEKDAY(B136,2)=7),"NO HÁBIL","HÁBIL"))</f>
        <v>HÁBIL</v>
      </c>
    </row>
    <row r="137" spans="1:18" ht="15.75" customHeight="1" x14ac:dyDescent="0.2">
      <c r="A137" s="22" t="s">
        <v>44</v>
      </c>
      <c r="B137" s="23">
        <v>46146</v>
      </c>
      <c r="C137" s="6" t="s">
        <v>11</v>
      </c>
      <c r="D137" s="6" t="s">
        <v>17</v>
      </c>
      <c r="E137" s="6" t="s">
        <v>14</v>
      </c>
      <c r="F137" s="6" t="s">
        <v>13</v>
      </c>
      <c r="G137" s="24">
        <v>0.71527777777777779</v>
      </c>
      <c r="H137" s="24">
        <f t="shared" si="14"/>
        <v>0.73958333333333337</v>
      </c>
      <c r="I137" s="8">
        <f t="shared" si="15"/>
        <v>2.430555555555558E-2</v>
      </c>
      <c r="J137" s="24">
        <v>0.70902777777777781</v>
      </c>
      <c r="K137" s="24">
        <v>0.71736111111111112</v>
      </c>
      <c r="L137" s="24">
        <f t="shared" si="12"/>
        <v>8.3333333333333037E-3</v>
      </c>
      <c r="M137" s="24">
        <v>0.73750000000000004</v>
      </c>
      <c r="N137" s="8">
        <f>+M137-K137</f>
        <v>2.0138888888888928E-2</v>
      </c>
      <c r="O137" s="24">
        <f t="shared" si="13"/>
        <v>2.8472222222222232E-2</v>
      </c>
      <c r="P137" s="22">
        <v>3</v>
      </c>
      <c r="Q137" s="25" t="s">
        <v>47</v>
      </c>
      <c r="R137" s="22" t="str">
        <f>IF(COUNTIF(fest!$A$1:$A$18,B137)&gt;0,"FESTIVO", IF(OR(WEEKDAY(B137,2)=6,WEEKDAY(B137,2)=7),"NO HÁBIL","HÁBIL"))</f>
        <v>HÁBIL</v>
      </c>
    </row>
    <row r="138" spans="1:18" ht="15.75" customHeight="1" x14ac:dyDescent="0.2">
      <c r="A138" s="22" t="s">
        <v>44</v>
      </c>
      <c r="B138" s="23">
        <v>46146</v>
      </c>
      <c r="C138" s="6" t="s">
        <v>15</v>
      </c>
      <c r="D138" s="6" t="s">
        <v>17</v>
      </c>
      <c r="E138" s="6" t="s">
        <v>14</v>
      </c>
      <c r="F138" s="6" t="s">
        <v>13</v>
      </c>
      <c r="G138" s="24">
        <v>0.73958333333333337</v>
      </c>
      <c r="H138" s="24">
        <f t="shared" si="14"/>
        <v>0.76388888888888884</v>
      </c>
      <c r="I138" s="8">
        <f t="shared" si="15"/>
        <v>2.4305555555555469E-2</v>
      </c>
      <c r="J138" s="24">
        <v>0.73750000000000004</v>
      </c>
      <c r="K138" s="24">
        <v>0.7416666666666667</v>
      </c>
      <c r="L138" s="24">
        <f t="shared" si="12"/>
        <v>4.1666666666666519E-3</v>
      </c>
      <c r="M138" s="24">
        <v>0.75972222222222219</v>
      </c>
      <c r="N138" s="8">
        <f>+M138-K138</f>
        <v>1.8055555555555491E-2</v>
      </c>
      <c r="O138" s="24">
        <f t="shared" si="13"/>
        <v>2.2222222222222143E-2</v>
      </c>
      <c r="P138" s="22">
        <v>1</v>
      </c>
      <c r="Q138" s="25" t="s">
        <v>47</v>
      </c>
      <c r="R138" s="22" t="str">
        <f>IF(COUNTIF(fest!$A$1:$A$18,B138)&gt;0,"FESTIVO", IF(OR(WEEKDAY(B138,2)=6,WEEKDAY(B138,2)=7),"NO HÁBIL","HÁBIL"))</f>
        <v>HÁBIL</v>
      </c>
    </row>
    <row r="139" spans="1:18" ht="15.75" customHeight="1" x14ac:dyDescent="0.2">
      <c r="A139" s="22" t="s">
        <v>44</v>
      </c>
      <c r="B139" s="23">
        <v>46146</v>
      </c>
      <c r="C139" s="6" t="s">
        <v>16</v>
      </c>
      <c r="D139" s="6" t="s">
        <v>17</v>
      </c>
      <c r="E139" s="6" t="s">
        <v>14</v>
      </c>
      <c r="F139" s="6" t="s">
        <v>13</v>
      </c>
      <c r="G139" s="24">
        <v>0.76388888888888884</v>
      </c>
      <c r="H139" s="24">
        <f t="shared" si="14"/>
        <v>0.27083333333333331</v>
      </c>
      <c r="I139" s="8">
        <f t="shared" si="15"/>
        <v>-0.49305555555555552</v>
      </c>
      <c r="J139" s="24">
        <v>0.75972222222222219</v>
      </c>
      <c r="K139" s="24">
        <v>0.76597222222222228</v>
      </c>
      <c r="L139" s="24">
        <f t="shared" si="12"/>
        <v>6.2500000000000888E-3</v>
      </c>
      <c r="M139" s="24">
        <f>+K139+N139</f>
        <v>0.78506944444444449</v>
      </c>
      <c r="N139" s="8">
        <f>AVERAGE(N137:N138)</f>
        <v>1.909722222222221E-2</v>
      </c>
      <c r="O139" s="24">
        <f t="shared" si="13"/>
        <v>2.5347222222222299E-2</v>
      </c>
      <c r="P139" s="22">
        <v>4</v>
      </c>
      <c r="Q139" s="25" t="s">
        <v>48</v>
      </c>
      <c r="R139" s="22" t="str">
        <f>IF(COUNTIF(fest!$A$1:$A$18,B139)&gt;0,"FESTIVO", IF(OR(WEEKDAY(B139,2)=6,WEEKDAY(B139,2)=7),"NO HÁBIL","HÁBIL"))</f>
        <v>HÁBIL</v>
      </c>
    </row>
    <row r="140" spans="1:18" ht="15.75" customHeight="1" x14ac:dyDescent="0.2">
      <c r="A140" s="22" t="s">
        <v>43</v>
      </c>
      <c r="B140" s="23">
        <v>46147</v>
      </c>
      <c r="C140" s="6" t="s">
        <v>11</v>
      </c>
      <c r="D140" s="6" t="s">
        <v>12</v>
      </c>
      <c r="E140" s="6" t="s">
        <v>13</v>
      </c>
      <c r="F140" s="6" t="s">
        <v>14</v>
      </c>
      <c r="G140" s="24">
        <v>0.27083333333333331</v>
      </c>
      <c r="H140" s="24">
        <f t="shared" si="14"/>
        <v>0.29166666666666669</v>
      </c>
      <c r="I140" s="8">
        <f t="shared" si="15"/>
        <v>2.083333333333337E-2</v>
      </c>
      <c r="J140" s="24">
        <v>0.26458333333333334</v>
      </c>
      <c r="K140" s="24">
        <v>0.27361111111111114</v>
      </c>
      <c r="L140" s="24">
        <f t="shared" si="12"/>
        <v>9.0277777777778012E-3</v>
      </c>
      <c r="M140" s="24">
        <v>0.28819444444444442</v>
      </c>
      <c r="N140" s="8">
        <f>+M140-K140</f>
        <v>1.4583333333333282E-2</v>
      </c>
      <c r="O140" s="24">
        <f t="shared" si="13"/>
        <v>2.3611111111111083E-2</v>
      </c>
      <c r="P140" s="22">
        <v>4</v>
      </c>
      <c r="Q140" s="25" t="s">
        <v>51</v>
      </c>
      <c r="R140" s="22" t="str">
        <f>IF(COUNTIF(fest!$A$1:$A$18,B140)&gt;0,"FESTIVO", IF(OR(WEEKDAY(B140,2)=6,WEEKDAY(B140,2)=7),"NO HÁBIL","HÁBIL"))</f>
        <v>HÁBIL</v>
      </c>
    </row>
    <row r="141" spans="1:18" ht="15.75" customHeight="1" x14ac:dyDescent="0.2">
      <c r="A141" s="22" t="s">
        <v>43</v>
      </c>
      <c r="B141" s="23">
        <v>46147</v>
      </c>
      <c r="C141" s="6" t="s">
        <v>15</v>
      </c>
      <c r="D141" s="6" t="s">
        <v>12</v>
      </c>
      <c r="E141" s="6" t="s">
        <v>13</v>
      </c>
      <c r="F141" s="6" t="s">
        <v>14</v>
      </c>
      <c r="G141" s="24">
        <v>0.29166666666666669</v>
      </c>
      <c r="H141" s="24">
        <f t="shared" si="14"/>
        <v>0.3125</v>
      </c>
      <c r="I141" s="8">
        <f t="shared" si="15"/>
        <v>2.0833333333333315E-2</v>
      </c>
      <c r="J141" s="24">
        <v>0.28819444444444442</v>
      </c>
      <c r="K141" s="24">
        <v>0.29375000000000001</v>
      </c>
      <c r="L141" s="24">
        <f t="shared" si="12"/>
        <v>5.5555555555555913E-3</v>
      </c>
      <c r="M141" s="24">
        <v>0.31180555555555556</v>
      </c>
      <c r="N141" s="8">
        <f>+M141-K141</f>
        <v>1.8055555555555547E-2</v>
      </c>
      <c r="O141" s="24">
        <f t="shared" si="13"/>
        <v>2.3611111111111138E-2</v>
      </c>
      <c r="P141" s="22">
        <v>2</v>
      </c>
      <c r="Q141" s="25" t="s">
        <v>51</v>
      </c>
      <c r="R141" s="22" t="str">
        <f>IF(COUNTIF(fest!$A$1:$A$18,B141)&gt;0,"FESTIVO", IF(OR(WEEKDAY(B141,2)=6,WEEKDAY(B141,2)=7),"NO HÁBIL","HÁBIL"))</f>
        <v>HÁBIL</v>
      </c>
    </row>
    <row r="142" spans="1:18" ht="15.75" customHeight="1" x14ac:dyDescent="0.2">
      <c r="A142" s="22" t="s">
        <v>43</v>
      </c>
      <c r="B142" s="23">
        <v>46147</v>
      </c>
      <c r="C142" s="6" t="s">
        <v>16</v>
      </c>
      <c r="D142" s="6" t="s">
        <v>12</v>
      </c>
      <c r="E142" s="6" t="s">
        <v>13</v>
      </c>
      <c r="F142" s="6" t="s">
        <v>14</v>
      </c>
      <c r="G142" s="24">
        <v>0.3125</v>
      </c>
      <c r="H142" s="24">
        <f t="shared" si="14"/>
        <v>0.71527777777777779</v>
      </c>
      <c r="I142" s="8">
        <f t="shared" si="15"/>
        <v>0.40277777777777779</v>
      </c>
      <c r="J142" s="24">
        <v>0.31180555555555556</v>
      </c>
      <c r="K142" s="24">
        <v>0.31527777777777777</v>
      </c>
      <c r="L142" s="24">
        <f t="shared" si="12"/>
        <v>3.4722222222222099E-3</v>
      </c>
      <c r="M142" s="24">
        <f>+K142+N142</f>
        <v>0.33159722222222221</v>
      </c>
      <c r="N142" s="8">
        <f>AVERAGE(N140:N141)</f>
        <v>1.6319444444444414E-2</v>
      </c>
      <c r="O142" s="24">
        <f t="shared" si="13"/>
        <v>1.9791666666666624E-2</v>
      </c>
      <c r="P142" s="22">
        <v>1</v>
      </c>
      <c r="Q142" s="25" t="s">
        <v>51</v>
      </c>
      <c r="R142" s="22" t="str">
        <f>IF(COUNTIF(fest!$A$1:$A$18,B142)&gt;0,"FESTIVO", IF(OR(WEEKDAY(B142,2)=6,WEEKDAY(B142,2)=7),"NO HÁBIL","HÁBIL"))</f>
        <v>HÁBIL</v>
      </c>
    </row>
    <row r="143" spans="1:18" ht="15.75" customHeight="1" x14ac:dyDescent="0.2">
      <c r="A143" s="22" t="s">
        <v>44</v>
      </c>
      <c r="B143" s="23">
        <v>46147</v>
      </c>
      <c r="C143" s="6" t="s">
        <v>11</v>
      </c>
      <c r="D143" s="6" t="s">
        <v>17</v>
      </c>
      <c r="E143" s="6" t="s">
        <v>14</v>
      </c>
      <c r="F143" s="6" t="s">
        <v>13</v>
      </c>
      <c r="G143" s="24">
        <v>0.71527777777777779</v>
      </c>
      <c r="H143" s="24">
        <f t="shared" si="14"/>
        <v>0.73958333333333337</v>
      </c>
      <c r="I143" s="8">
        <f t="shared" si="15"/>
        <v>2.430555555555558E-2</v>
      </c>
      <c r="J143" s="24">
        <v>0.70902777777777781</v>
      </c>
      <c r="K143" s="24">
        <v>0.71805555555555556</v>
      </c>
      <c r="L143" s="24">
        <f t="shared" si="12"/>
        <v>9.0277777777777457E-3</v>
      </c>
      <c r="M143" s="24">
        <v>0.73958333333333337</v>
      </c>
      <c r="N143" s="8">
        <f>+M143-K143</f>
        <v>2.1527777777777812E-2</v>
      </c>
      <c r="O143" s="24">
        <f t="shared" si="13"/>
        <v>3.0555555555555558E-2</v>
      </c>
      <c r="P143" s="22">
        <v>5</v>
      </c>
      <c r="Q143" s="25" t="s">
        <v>48</v>
      </c>
      <c r="R143" s="22" t="str">
        <f>IF(COUNTIF(fest!$A$1:$A$18,B143)&gt;0,"FESTIVO", IF(OR(WEEKDAY(B143,2)=6,WEEKDAY(B143,2)=7),"NO HÁBIL","HÁBIL"))</f>
        <v>HÁBIL</v>
      </c>
    </row>
    <row r="144" spans="1:18" ht="15.75" customHeight="1" x14ac:dyDescent="0.2">
      <c r="A144" s="22" t="s">
        <v>44</v>
      </c>
      <c r="B144" s="23">
        <v>46147</v>
      </c>
      <c r="C144" s="6" t="s">
        <v>15</v>
      </c>
      <c r="D144" s="6" t="s">
        <v>17</v>
      </c>
      <c r="E144" s="6" t="s">
        <v>14</v>
      </c>
      <c r="F144" s="6" t="s">
        <v>13</v>
      </c>
      <c r="G144" s="24">
        <v>0.73958333333333337</v>
      </c>
      <c r="H144" s="24">
        <f t="shared" si="14"/>
        <v>0.76388888888888884</v>
      </c>
      <c r="I144" s="8">
        <f t="shared" si="15"/>
        <v>2.4305555555555469E-2</v>
      </c>
      <c r="J144" s="24">
        <v>0.73958333333333337</v>
      </c>
      <c r="K144" s="24">
        <v>0.74513888888888891</v>
      </c>
      <c r="L144" s="24">
        <f t="shared" si="12"/>
        <v>5.5555555555555358E-3</v>
      </c>
      <c r="M144" s="24">
        <v>0.76249999999999996</v>
      </c>
      <c r="N144" s="8">
        <f>+M144-K144</f>
        <v>1.7361111111111049E-2</v>
      </c>
      <c r="O144" s="24">
        <f t="shared" si="13"/>
        <v>2.2916666666666585E-2</v>
      </c>
      <c r="P144" s="22">
        <v>1</v>
      </c>
      <c r="Q144" s="25" t="s">
        <v>47</v>
      </c>
      <c r="R144" s="22" t="str">
        <f>IF(COUNTIF(fest!$A$1:$A$18,B144)&gt;0,"FESTIVO", IF(OR(WEEKDAY(B144,2)=6,WEEKDAY(B144,2)=7),"NO HÁBIL","HÁBIL"))</f>
        <v>HÁBIL</v>
      </c>
    </row>
    <row r="145" spans="1:18" ht="15.75" customHeight="1" x14ac:dyDescent="0.2">
      <c r="A145" s="22" t="s">
        <v>44</v>
      </c>
      <c r="B145" s="23">
        <v>46147</v>
      </c>
      <c r="C145" s="6" t="s">
        <v>16</v>
      </c>
      <c r="D145" s="6" t="s">
        <v>17</v>
      </c>
      <c r="E145" s="6" t="s">
        <v>14</v>
      </c>
      <c r="F145" s="6" t="s">
        <v>13</v>
      </c>
      <c r="G145" s="24">
        <v>0.76388888888888884</v>
      </c>
      <c r="H145" s="24">
        <f t="shared" si="14"/>
        <v>0.27083333333333331</v>
      </c>
      <c r="I145" s="8">
        <f t="shared" si="15"/>
        <v>-0.49305555555555552</v>
      </c>
      <c r="J145" s="24">
        <v>0.76249999999999996</v>
      </c>
      <c r="K145" s="24">
        <v>0.76875000000000004</v>
      </c>
      <c r="L145" s="24">
        <f t="shared" si="12"/>
        <v>6.2500000000000888E-3</v>
      </c>
      <c r="M145" s="24">
        <f>+K145+N145</f>
        <v>0.78819444444444442</v>
      </c>
      <c r="N145" s="8">
        <f>AVERAGE(N143:N144)</f>
        <v>1.9444444444444431E-2</v>
      </c>
      <c r="O145" s="24">
        <f t="shared" si="13"/>
        <v>2.569444444444452E-2</v>
      </c>
      <c r="P145" s="22">
        <v>6</v>
      </c>
      <c r="Q145" s="25" t="s">
        <v>48</v>
      </c>
      <c r="R145" s="22" t="str">
        <f>IF(COUNTIF(fest!$A$1:$A$18,B145)&gt;0,"FESTIVO", IF(OR(WEEKDAY(B145,2)=6,WEEKDAY(B145,2)=7),"NO HÁBIL","HÁBIL"))</f>
        <v>HÁBIL</v>
      </c>
    </row>
    <row r="146" spans="1:18" ht="15.75" customHeight="1" x14ac:dyDescent="0.2">
      <c r="A146" s="22" t="s">
        <v>43</v>
      </c>
      <c r="B146" s="23">
        <v>46148</v>
      </c>
      <c r="C146" s="6" t="s">
        <v>11</v>
      </c>
      <c r="D146" s="6" t="s">
        <v>12</v>
      </c>
      <c r="E146" s="6" t="s">
        <v>13</v>
      </c>
      <c r="F146" s="6" t="s">
        <v>14</v>
      </c>
      <c r="G146" s="24">
        <v>0.27083333333333331</v>
      </c>
      <c r="H146" s="24">
        <f t="shared" si="14"/>
        <v>0.29166666666666669</v>
      </c>
      <c r="I146" s="8">
        <f t="shared" si="15"/>
        <v>2.083333333333337E-2</v>
      </c>
      <c r="J146" s="24">
        <v>0.2638888888888889</v>
      </c>
      <c r="K146" s="24">
        <v>0.27777777777777779</v>
      </c>
      <c r="L146" s="24">
        <f t="shared" si="12"/>
        <v>1.3888888888888895E-2</v>
      </c>
      <c r="M146" s="24">
        <v>0.28819444444444442</v>
      </c>
      <c r="N146" s="8">
        <f>+M146-K146</f>
        <v>1.041666666666663E-2</v>
      </c>
      <c r="O146" s="24">
        <f t="shared" si="13"/>
        <v>2.4305555555555525E-2</v>
      </c>
      <c r="P146" s="22">
        <v>0</v>
      </c>
      <c r="Q146" s="25" t="s">
        <v>51</v>
      </c>
      <c r="R146" s="22" t="str">
        <f>IF(COUNTIF(fest!$A$1:$A$18,B146)&gt;0,"FESTIVO", IF(OR(WEEKDAY(B146,2)=6,WEEKDAY(B146,2)=7),"NO HÁBIL","HÁBIL"))</f>
        <v>HÁBIL</v>
      </c>
    </row>
    <row r="147" spans="1:18" ht="15.75" customHeight="1" x14ac:dyDescent="0.2">
      <c r="A147" s="22" t="s">
        <v>43</v>
      </c>
      <c r="B147" s="23">
        <v>46148</v>
      </c>
      <c r="C147" s="6" t="s">
        <v>15</v>
      </c>
      <c r="D147" s="6" t="s">
        <v>12</v>
      </c>
      <c r="E147" s="6" t="s">
        <v>13</v>
      </c>
      <c r="F147" s="6" t="s">
        <v>14</v>
      </c>
      <c r="G147" s="24">
        <v>0.29166666666666669</v>
      </c>
      <c r="H147" s="24">
        <f t="shared" si="14"/>
        <v>0.3125</v>
      </c>
      <c r="I147" s="8">
        <f t="shared" si="15"/>
        <v>2.0833333333333315E-2</v>
      </c>
      <c r="J147" s="24">
        <v>0.28819444444444442</v>
      </c>
      <c r="K147" s="24">
        <v>0.29375000000000001</v>
      </c>
      <c r="L147" s="24">
        <f t="shared" si="12"/>
        <v>5.5555555555555913E-3</v>
      </c>
      <c r="M147" s="24">
        <v>0.31041666666666667</v>
      </c>
      <c r="N147" s="8">
        <f>+M147-K147</f>
        <v>1.6666666666666663E-2</v>
      </c>
      <c r="O147" s="24">
        <f t="shared" si="13"/>
        <v>2.2222222222222254E-2</v>
      </c>
      <c r="P147" s="22">
        <v>2</v>
      </c>
      <c r="Q147" s="25" t="s">
        <v>51</v>
      </c>
      <c r="R147" s="22" t="str">
        <f>IF(COUNTIF(fest!$A$1:$A$18,B147)&gt;0,"FESTIVO", IF(OR(WEEKDAY(B147,2)=6,WEEKDAY(B147,2)=7),"NO HÁBIL","HÁBIL"))</f>
        <v>HÁBIL</v>
      </c>
    </row>
    <row r="148" spans="1:18" ht="15.75" customHeight="1" x14ac:dyDescent="0.2">
      <c r="A148" s="22" t="s">
        <v>43</v>
      </c>
      <c r="B148" s="23">
        <v>46148</v>
      </c>
      <c r="C148" s="6" t="s">
        <v>16</v>
      </c>
      <c r="D148" s="6" t="s">
        <v>12</v>
      </c>
      <c r="E148" s="6" t="s">
        <v>13</v>
      </c>
      <c r="F148" s="6" t="s">
        <v>14</v>
      </c>
      <c r="G148" s="24">
        <v>0.3125</v>
      </c>
      <c r="H148" s="24">
        <f t="shared" si="14"/>
        <v>0.71527777777777779</v>
      </c>
      <c r="I148" s="8">
        <f t="shared" si="15"/>
        <v>0.40277777777777779</v>
      </c>
      <c r="J148" s="24">
        <v>0.31041666666666667</v>
      </c>
      <c r="K148" s="24">
        <v>0.31458333333333333</v>
      </c>
      <c r="L148" s="24">
        <f t="shared" si="12"/>
        <v>4.1666666666666519E-3</v>
      </c>
      <c r="M148" s="24">
        <f>+K148+N148</f>
        <v>0.328125</v>
      </c>
      <c r="N148" s="8">
        <f>AVERAGE(N146:N147)</f>
        <v>1.3541666666666646E-2</v>
      </c>
      <c r="O148" s="24">
        <f t="shared" si="13"/>
        <v>1.7708333333333298E-2</v>
      </c>
      <c r="P148" s="22">
        <v>1</v>
      </c>
      <c r="Q148" s="25" t="s">
        <v>51</v>
      </c>
      <c r="R148" s="22" t="str">
        <f>IF(COUNTIF(fest!$A$1:$A$18,B148)&gt;0,"FESTIVO", IF(OR(WEEKDAY(B148,2)=6,WEEKDAY(B148,2)=7),"NO HÁBIL","HÁBIL"))</f>
        <v>HÁBIL</v>
      </c>
    </row>
    <row r="149" spans="1:18" ht="15.75" customHeight="1" x14ac:dyDescent="0.2">
      <c r="A149" s="22" t="s">
        <v>44</v>
      </c>
      <c r="B149" s="23">
        <v>46148</v>
      </c>
      <c r="C149" s="6" t="s">
        <v>11</v>
      </c>
      <c r="D149" s="6" t="s">
        <v>17</v>
      </c>
      <c r="E149" s="6" t="s">
        <v>14</v>
      </c>
      <c r="F149" s="6" t="s">
        <v>13</v>
      </c>
      <c r="G149" s="24">
        <v>0.71527777777777779</v>
      </c>
      <c r="H149" s="24">
        <f t="shared" si="14"/>
        <v>0.73958333333333337</v>
      </c>
      <c r="I149" s="8">
        <f t="shared" si="15"/>
        <v>2.430555555555558E-2</v>
      </c>
      <c r="J149" s="24">
        <v>0.70902777777777781</v>
      </c>
      <c r="K149" s="24">
        <v>0.71805555555555556</v>
      </c>
      <c r="L149" s="24">
        <f t="shared" si="12"/>
        <v>9.0277777777777457E-3</v>
      </c>
      <c r="M149" s="24">
        <v>0.7416666666666667</v>
      </c>
      <c r="N149" s="8">
        <f>+M149-K149</f>
        <v>2.3611111111111138E-2</v>
      </c>
      <c r="O149" s="24">
        <f t="shared" si="13"/>
        <v>3.2638888888888884E-2</v>
      </c>
      <c r="P149" s="22">
        <v>1</v>
      </c>
      <c r="Q149" s="25" t="s">
        <v>47</v>
      </c>
      <c r="R149" s="22" t="str">
        <f>IF(COUNTIF(fest!$A$1:$A$18,B149)&gt;0,"FESTIVO", IF(OR(WEEKDAY(B149,2)=6,WEEKDAY(B149,2)=7),"NO HÁBIL","HÁBIL"))</f>
        <v>HÁBIL</v>
      </c>
    </row>
    <row r="150" spans="1:18" ht="15.75" customHeight="1" x14ac:dyDescent="0.2">
      <c r="A150" s="22" t="s">
        <v>44</v>
      </c>
      <c r="B150" s="23">
        <v>46148</v>
      </c>
      <c r="C150" s="6" t="s">
        <v>15</v>
      </c>
      <c r="D150" s="6" t="s">
        <v>17</v>
      </c>
      <c r="E150" s="6" t="s">
        <v>14</v>
      </c>
      <c r="F150" s="6" t="s">
        <v>13</v>
      </c>
      <c r="G150" s="24">
        <v>0.73958333333333337</v>
      </c>
      <c r="H150" s="24">
        <f t="shared" si="14"/>
        <v>0.76388888888888884</v>
      </c>
      <c r="I150" s="8">
        <f t="shared" si="15"/>
        <v>2.4305555555555469E-2</v>
      </c>
      <c r="J150" s="24">
        <v>0.7416666666666667</v>
      </c>
      <c r="K150" s="24">
        <v>0.75</v>
      </c>
      <c r="L150" s="24">
        <f t="shared" si="12"/>
        <v>8.3333333333333037E-3</v>
      </c>
      <c r="M150" s="24">
        <v>0.76041666666666663</v>
      </c>
      <c r="N150" s="8">
        <f>+M150-K150</f>
        <v>1.041666666666663E-2</v>
      </c>
      <c r="O150" s="24">
        <f t="shared" si="13"/>
        <v>1.8749999999999933E-2</v>
      </c>
      <c r="P150" s="22">
        <v>0</v>
      </c>
      <c r="Q150" s="25" t="s">
        <v>48</v>
      </c>
      <c r="R150" s="22" t="str">
        <f>IF(COUNTIF(fest!$A$1:$A$18,B150)&gt;0,"FESTIVO", IF(OR(WEEKDAY(B150,2)=6,WEEKDAY(B150,2)=7),"NO HÁBIL","HÁBIL"))</f>
        <v>HÁBIL</v>
      </c>
    </row>
    <row r="151" spans="1:18" ht="15.75" customHeight="1" x14ac:dyDescent="0.2">
      <c r="A151" s="22" t="s">
        <v>44</v>
      </c>
      <c r="B151" s="23">
        <v>46148</v>
      </c>
      <c r="C151" s="6" t="s">
        <v>16</v>
      </c>
      <c r="D151" s="6" t="s">
        <v>17</v>
      </c>
      <c r="E151" s="6" t="s">
        <v>14</v>
      </c>
      <c r="F151" s="6" t="s">
        <v>13</v>
      </c>
      <c r="G151" s="24">
        <v>0.76388888888888884</v>
      </c>
      <c r="H151" s="24">
        <f t="shared" si="14"/>
        <v>0.27083333333333331</v>
      </c>
      <c r="I151" s="8">
        <f t="shared" si="15"/>
        <v>-0.49305555555555552</v>
      </c>
      <c r="J151" s="24">
        <v>0.76041666666666663</v>
      </c>
      <c r="K151" s="24">
        <v>0.76597222222222228</v>
      </c>
      <c r="L151" s="24">
        <f t="shared" si="12"/>
        <v>5.5555555555556468E-3</v>
      </c>
      <c r="M151" s="24">
        <f>+K151+N151</f>
        <v>0.78298611111111116</v>
      </c>
      <c r="N151" s="8">
        <f>AVERAGE(N149:N150)</f>
        <v>1.7013888888888884E-2</v>
      </c>
      <c r="O151" s="24">
        <f t="shared" si="13"/>
        <v>2.2569444444444531E-2</v>
      </c>
      <c r="P151" s="22">
        <v>5</v>
      </c>
      <c r="Q151" s="25" t="s">
        <v>48</v>
      </c>
      <c r="R151" s="22" t="str">
        <f>IF(COUNTIF(fest!$A$1:$A$18,B151)&gt;0,"FESTIVO", IF(OR(WEEKDAY(B151,2)=6,WEEKDAY(B151,2)=7),"NO HÁBIL","HÁBIL"))</f>
        <v>HÁBIL</v>
      </c>
    </row>
    <row r="152" spans="1:18" ht="15.75" customHeight="1" x14ac:dyDescent="0.2">
      <c r="A152" s="22" t="s">
        <v>43</v>
      </c>
      <c r="B152" s="23">
        <v>46149</v>
      </c>
      <c r="C152" s="6" t="s">
        <v>11</v>
      </c>
      <c r="D152" s="6" t="s">
        <v>12</v>
      </c>
      <c r="E152" s="6" t="s">
        <v>13</v>
      </c>
      <c r="F152" s="6" t="s">
        <v>14</v>
      </c>
      <c r="G152" s="24">
        <v>0.27083333333333331</v>
      </c>
      <c r="H152" s="24">
        <f t="shared" si="14"/>
        <v>0.29166666666666669</v>
      </c>
      <c r="I152" s="8">
        <f t="shared" si="15"/>
        <v>2.083333333333337E-2</v>
      </c>
      <c r="J152" s="24">
        <v>0.26458333333333334</v>
      </c>
      <c r="K152" s="24">
        <v>0.27291666666666664</v>
      </c>
      <c r="L152" s="24">
        <f t="shared" si="12"/>
        <v>8.3333333333333037E-3</v>
      </c>
      <c r="M152" s="24">
        <v>0.28958333333333336</v>
      </c>
      <c r="N152" s="8">
        <f>+M152-K152</f>
        <v>1.6666666666666718E-2</v>
      </c>
      <c r="O152" s="24">
        <f t="shared" si="13"/>
        <v>2.5000000000000022E-2</v>
      </c>
      <c r="P152" s="22">
        <v>2</v>
      </c>
      <c r="Q152" s="25" t="s">
        <v>51</v>
      </c>
      <c r="R152" s="22" t="str">
        <f>IF(COUNTIF(fest!$A$1:$A$18,B152)&gt;0,"FESTIVO", IF(OR(WEEKDAY(B152,2)=6,WEEKDAY(B152,2)=7),"NO HÁBIL","HÁBIL"))</f>
        <v>HÁBIL</v>
      </c>
    </row>
    <row r="153" spans="1:18" ht="15.75" customHeight="1" x14ac:dyDescent="0.2">
      <c r="A153" s="22" t="s">
        <v>43</v>
      </c>
      <c r="B153" s="23">
        <v>46149</v>
      </c>
      <c r="C153" s="6" t="s">
        <v>15</v>
      </c>
      <c r="D153" s="6" t="s">
        <v>12</v>
      </c>
      <c r="E153" s="6" t="s">
        <v>13</v>
      </c>
      <c r="F153" s="6" t="s">
        <v>14</v>
      </c>
      <c r="G153" s="24">
        <v>0.29166666666666669</v>
      </c>
      <c r="H153" s="24">
        <f t="shared" si="14"/>
        <v>0.3125</v>
      </c>
      <c r="I153" s="8">
        <f t="shared" si="15"/>
        <v>2.0833333333333315E-2</v>
      </c>
      <c r="J153" s="24">
        <v>0.28958333333333336</v>
      </c>
      <c r="K153" s="24">
        <v>0.29375000000000001</v>
      </c>
      <c r="L153" s="24">
        <f t="shared" si="12"/>
        <v>4.1666666666666519E-3</v>
      </c>
      <c r="M153" s="24">
        <v>0.30972222222222223</v>
      </c>
      <c r="N153" s="8">
        <f>+M153-K153</f>
        <v>1.5972222222222221E-2</v>
      </c>
      <c r="O153" s="24">
        <f t="shared" si="13"/>
        <v>2.0138888888888873E-2</v>
      </c>
      <c r="P153" s="22">
        <v>5</v>
      </c>
      <c r="Q153" s="25" t="s">
        <v>51</v>
      </c>
      <c r="R153" s="22" t="str">
        <f>IF(COUNTIF(fest!$A$1:$A$18,B153)&gt;0,"FESTIVO", IF(OR(WEEKDAY(B153,2)=6,WEEKDAY(B153,2)=7),"NO HÁBIL","HÁBIL"))</f>
        <v>HÁBIL</v>
      </c>
    </row>
    <row r="154" spans="1:18" ht="15.75" customHeight="1" x14ac:dyDescent="0.2">
      <c r="A154" s="22" t="s">
        <v>43</v>
      </c>
      <c r="B154" s="23">
        <v>46149</v>
      </c>
      <c r="C154" s="6" t="s">
        <v>16</v>
      </c>
      <c r="D154" s="6" t="s">
        <v>12</v>
      </c>
      <c r="E154" s="6" t="s">
        <v>13</v>
      </c>
      <c r="F154" s="6" t="s">
        <v>14</v>
      </c>
      <c r="G154" s="24">
        <v>0.3125</v>
      </c>
      <c r="H154" s="24">
        <f t="shared" si="14"/>
        <v>0.71527777777777779</v>
      </c>
      <c r="I154" s="8">
        <f t="shared" si="15"/>
        <v>0.40277777777777779</v>
      </c>
      <c r="J154" s="24">
        <v>0.30972222222222223</v>
      </c>
      <c r="K154" s="24">
        <v>0.32083333333333336</v>
      </c>
      <c r="L154" s="24">
        <f t="shared" si="12"/>
        <v>1.1111111111111127E-2</v>
      </c>
      <c r="M154" s="24">
        <f>+K154+N154</f>
        <v>0.33715277777777786</v>
      </c>
      <c r="N154" s="8">
        <f>AVERAGE(N152:N153)</f>
        <v>1.631944444444447E-2</v>
      </c>
      <c r="O154" s="24">
        <f t="shared" si="13"/>
        <v>2.7430555555555597E-2</v>
      </c>
      <c r="P154" s="22">
        <v>0</v>
      </c>
      <c r="Q154" s="25" t="s">
        <v>51</v>
      </c>
      <c r="R154" s="22" t="str">
        <f>IF(COUNTIF(fest!$A$1:$A$18,B154)&gt;0,"FESTIVO", IF(OR(WEEKDAY(B154,2)=6,WEEKDAY(B154,2)=7),"NO HÁBIL","HÁBIL"))</f>
        <v>HÁBIL</v>
      </c>
    </row>
    <row r="155" spans="1:18" ht="15.75" customHeight="1" x14ac:dyDescent="0.2">
      <c r="A155" s="22" t="s">
        <v>44</v>
      </c>
      <c r="B155" s="23">
        <v>46149</v>
      </c>
      <c r="C155" s="6" t="s">
        <v>11</v>
      </c>
      <c r="D155" s="6" t="s">
        <v>17</v>
      </c>
      <c r="E155" s="6" t="s">
        <v>14</v>
      </c>
      <c r="F155" s="6" t="s">
        <v>13</v>
      </c>
      <c r="G155" s="24">
        <v>0.71527777777777779</v>
      </c>
      <c r="H155" s="24">
        <f t="shared" si="14"/>
        <v>0.73958333333333337</v>
      </c>
      <c r="I155" s="8">
        <f t="shared" si="15"/>
        <v>2.430555555555558E-2</v>
      </c>
      <c r="J155" s="24">
        <v>0.70833333333333337</v>
      </c>
      <c r="K155" s="24">
        <v>0.71805555555555556</v>
      </c>
      <c r="L155" s="24">
        <f t="shared" si="12"/>
        <v>9.7222222222221877E-3</v>
      </c>
      <c r="M155" s="24">
        <v>0.74652777777777779</v>
      </c>
      <c r="N155" s="8">
        <f>+M155-K155</f>
        <v>2.8472222222222232E-2</v>
      </c>
      <c r="O155" s="24">
        <f t="shared" si="13"/>
        <v>3.819444444444442E-2</v>
      </c>
      <c r="P155" s="22">
        <v>6</v>
      </c>
      <c r="Q155" s="25" t="s">
        <v>48</v>
      </c>
      <c r="R155" s="22" t="str">
        <f>IF(COUNTIF(fest!$A$1:$A$18,B155)&gt;0,"FESTIVO", IF(OR(WEEKDAY(B155,2)=6,WEEKDAY(B155,2)=7),"NO HÁBIL","HÁBIL"))</f>
        <v>HÁBIL</v>
      </c>
    </row>
    <row r="156" spans="1:18" ht="15.75" customHeight="1" x14ac:dyDescent="0.2">
      <c r="A156" s="22" t="s">
        <v>44</v>
      </c>
      <c r="B156" s="23">
        <v>46149</v>
      </c>
      <c r="C156" s="6" t="s">
        <v>15</v>
      </c>
      <c r="D156" s="6" t="s">
        <v>17</v>
      </c>
      <c r="E156" s="6" t="s">
        <v>14</v>
      </c>
      <c r="F156" s="6" t="s">
        <v>13</v>
      </c>
      <c r="G156" s="24">
        <v>0.73958333333333337</v>
      </c>
      <c r="H156" s="24">
        <f t="shared" si="14"/>
        <v>0.76388888888888884</v>
      </c>
      <c r="I156" s="8">
        <f t="shared" si="15"/>
        <v>2.4305555555555469E-2</v>
      </c>
      <c r="J156" s="24">
        <v>0.74652777777777779</v>
      </c>
      <c r="K156" s="24">
        <v>0.75138888888888888</v>
      </c>
      <c r="L156" s="24">
        <f t="shared" si="12"/>
        <v>4.8611111111110938E-3</v>
      </c>
      <c r="M156" s="24">
        <v>0.76111111111111107</v>
      </c>
      <c r="N156" s="8">
        <f>+M156-K156</f>
        <v>9.7222222222221877E-3</v>
      </c>
      <c r="O156" s="24">
        <f t="shared" si="13"/>
        <v>1.4583333333333282E-2</v>
      </c>
      <c r="P156" s="22">
        <v>0</v>
      </c>
      <c r="Q156" s="25" t="s">
        <v>45</v>
      </c>
      <c r="R156" s="22" t="str">
        <f>IF(COUNTIF(fest!$A$1:$A$18,B156)&gt;0,"FESTIVO", IF(OR(WEEKDAY(B156,2)=6,WEEKDAY(B156,2)=7),"NO HÁBIL","HÁBIL"))</f>
        <v>HÁBIL</v>
      </c>
    </row>
    <row r="157" spans="1:18" ht="15.75" customHeight="1" x14ac:dyDescent="0.2">
      <c r="A157" s="22" t="s">
        <v>44</v>
      </c>
      <c r="B157" s="23">
        <v>46149</v>
      </c>
      <c r="C157" s="6" t="s">
        <v>16</v>
      </c>
      <c r="D157" s="6" t="s">
        <v>17</v>
      </c>
      <c r="E157" s="6" t="s">
        <v>14</v>
      </c>
      <c r="F157" s="6" t="s">
        <v>13</v>
      </c>
      <c r="G157" s="24">
        <v>0.76388888888888884</v>
      </c>
      <c r="H157" s="24">
        <f t="shared" si="14"/>
        <v>0.27083333333333331</v>
      </c>
      <c r="I157" s="8">
        <f t="shared" si="15"/>
        <v>-0.49305555555555552</v>
      </c>
      <c r="J157" s="24">
        <v>0.76111111111111107</v>
      </c>
      <c r="K157" s="24">
        <v>0.76597222222222228</v>
      </c>
      <c r="L157" s="24">
        <f t="shared" si="12"/>
        <v>4.8611111111112049E-3</v>
      </c>
      <c r="M157" s="24">
        <f>+K157+N157</f>
        <v>0.78506944444444449</v>
      </c>
      <c r="N157" s="8">
        <f>AVERAGE(N155:N156)</f>
        <v>1.909722222222221E-2</v>
      </c>
      <c r="O157" s="24">
        <f t="shared" si="13"/>
        <v>2.3958333333333415E-2</v>
      </c>
      <c r="P157" s="22">
        <v>4</v>
      </c>
      <c r="Q157" s="25" t="s">
        <v>48</v>
      </c>
      <c r="R157" s="22" t="str">
        <f>IF(COUNTIF(fest!$A$1:$A$18,B157)&gt;0,"FESTIVO", IF(OR(WEEKDAY(B157,2)=6,WEEKDAY(B157,2)=7),"NO HÁBIL","HÁBIL"))</f>
        <v>HÁBIL</v>
      </c>
    </row>
    <row r="158" spans="1:18" ht="15.75" customHeight="1" x14ac:dyDescent="0.2">
      <c r="A158" s="22" t="s">
        <v>43</v>
      </c>
      <c r="B158" s="23">
        <v>46150</v>
      </c>
      <c r="C158" s="6" t="s">
        <v>11</v>
      </c>
      <c r="D158" s="6" t="s">
        <v>12</v>
      </c>
      <c r="E158" s="6" t="s">
        <v>13</v>
      </c>
      <c r="F158" s="6" t="s">
        <v>14</v>
      </c>
      <c r="G158" s="24">
        <v>0.27083333333333331</v>
      </c>
      <c r="H158" s="24">
        <f t="shared" si="14"/>
        <v>0.29166666666666669</v>
      </c>
      <c r="I158" s="8">
        <f t="shared" si="15"/>
        <v>2.083333333333337E-2</v>
      </c>
      <c r="J158" s="24">
        <v>0.2638888888888889</v>
      </c>
      <c r="K158" s="24">
        <v>0.27361111111111114</v>
      </c>
      <c r="L158" s="24">
        <f t="shared" si="12"/>
        <v>9.7222222222222432E-3</v>
      </c>
      <c r="M158" s="24">
        <v>0.28888888888888886</v>
      </c>
      <c r="N158" s="8">
        <f>+M158-K158</f>
        <v>1.5277777777777724E-2</v>
      </c>
      <c r="O158" s="24">
        <f t="shared" si="13"/>
        <v>2.4999999999999967E-2</v>
      </c>
      <c r="P158" s="22">
        <v>3</v>
      </c>
      <c r="Q158" s="25" t="s">
        <v>51</v>
      </c>
      <c r="R158" s="22" t="str">
        <f>IF(COUNTIF(fest!$A$1:$A$18,B158)&gt;0,"FESTIVO", IF(OR(WEEKDAY(B158,2)=6,WEEKDAY(B158,2)=7),"NO HÁBIL","HÁBIL"))</f>
        <v>HÁBIL</v>
      </c>
    </row>
    <row r="159" spans="1:18" ht="15.75" customHeight="1" x14ac:dyDescent="0.2">
      <c r="A159" s="22" t="s">
        <v>43</v>
      </c>
      <c r="B159" s="23">
        <v>46150</v>
      </c>
      <c r="C159" s="6" t="s">
        <v>15</v>
      </c>
      <c r="D159" s="6" t="s">
        <v>12</v>
      </c>
      <c r="E159" s="6" t="s">
        <v>13</v>
      </c>
      <c r="F159" s="6" t="s">
        <v>14</v>
      </c>
      <c r="G159" s="24">
        <v>0.29166666666666669</v>
      </c>
      <c r="H159" s="24">
        <f t="shared" si="14"/>
        <v>0.3125</v>
      </c>
      <c r="I159" s="8">
        <f t="shared" si="15"/>
        <v>2.0833333333333315E-2</v>
      </c>
      <c r="J159" s="24">
        <v>0.28888888888888886</v>
      </c>
      <c r="K159" s="24">
        <v>0.29722222222222222</v>
      </c>
      <c r="L159" s="24">
        <f t="shared" si="12"/>
        <v>8.3333333333333592E-3</v>
      </c>
      <c r="M159" s="24">
        <v>0.30833333333333335</v>
      </c>
      <c r="N159" s="8">
        <f>+M159-K159</f>
        <v>1.1111111111111127E-2</v>
      </c>
      <c r="O159" s="24">
        <f t="shared" si="13"/>
        <v>1.9444444444444486E-2</v>
      </c>
      <c r="P159" s="22">
        <v>0</v>
      </c>
      <c r="Q159" s="25" t="s">
        <v>51</v>
      </c>
      <c r="R159" s="22" t="str">
        <f>IF(COUNTIF(fest!$A$1:$A$18,B159)&gt;0,"FESTIVO", IF(OR(WEEKDAY(B159,2)=6,WEEKDAY(B159,2)=7),"NO HÁBIL","HÁBIL"))</f>
        <v>HÁBIL</v>
      </c>
    </row>
    <row r="160" spans="1:18" ht="15.75" customHeight="1" x14ac:dyDescent="0.2">
      <c r="A160" s="22" t="s">
        <v>43</v>
      </c>
      <c r="B160" s="23">
        <v>46150</v>
      </c>
      <c r="C160" s="6" t="s">
        <v>16</v>
      </c>
      <c r="D160" s="6" t="s">
        <v>12</v>
      </c>
      <c r="E160" s="6" t="s">
        <v>13</v>
      </c>
      <c r="F160" s="6" t="s">
        <v>14</v>
      </c>
      <c r="G160" s="24">
        <v>0.3125</v>
      </c>
      <c r="H160" s="24">
        <f t="shared" si="14"/>
        <v>0.71527777777777779</v>
      </c>
      <c r="I160" s="8">
        <f t="shared" si="15"/>
        <v>0.40277777777777779</v>
      </c>
      <c r="J160" s="24">
        <v>0.30833333333333335</v>
      </c>
      <c r="K160" s="24">
        <v>0.31458333333333333</v>
      </c>
      <c r="L160" s="24">
        <f t="shared" si="12"/>
        <v>6.2499999999999778E-3</v>
      </c>
      <c r="M160" s="24">
        <f>+K160+N160</f>
        <v>0.32777777777777772</v>
      </c>
      <c r="N160" s="8">
        <f>AVERAGE(N158:N159)</f>
        <v>1.3194444444444425E-2</v>
      </c>
      <c r="O160" s="24">
        <f t="shared" si="13"/>
        <v>1.9444444444444403E-2</v>
      </c>
      <c r="P160" s="22">
        <v>4</v>
      </c>
      <c r="Q160" s="25" t="s">
        <v>51</v>
      </c>
      <c r="R160" s="22" t="str">
        <f>IF(COUNTIF(fest!$A$1:$A$18,B160)&gt;0,"FESTIVO", IF(OR(WEEKDAY(B160,2)=6,WEEKDAY(B160,2)=7),"NO HÁBIL","HÁBIL"))</f>
        <v>HÁBIL</v>
      </c>
    </row>
    <row r="161" spans="1:18" ht="15.75" customHeight="1" x14ac:dyDescent="0.2">
      <c r="A161" s="22" t="s">
        <v>44</v>
      </c>
      <c r="B161" s="23">
        <v>46150</v>
      </c>
      <c r="C161" s="6" t="s">
        <v>11</v>
      </c>
      <c r="D161" s="6" t="s">
        <v>17</v>
      </c>
      <c r="E161" s="6" t="s">
        <v>14</v>
      </c>
      <c r="F161" s="6" t="s">
        <v>13</v>
      </c>
      <c r="G161" s="24">
        <v>0.71527777777777779</v>
      </c>
      <c r="H161" s="24">
        <f t="shared" si="14"/>
        <v>0.73958333333333337</v>
      </c>
      <c r="I161" s="8">
        <f t="shared" si="15"/>
        <v>2.430555555555558E-2</v>
      </c>
      <c r="J161" s="24">
        <v>0.66736111111111107</v>
      </c>
      <c r="K161" s="24">
        <v>0.67708333333333337</v>
      </c>
      <c r="L161" s="24">
        <f t="shared" si="12"/>
        <v>9.7222222222222987E-3</v>
      </c>
      <c r="M161" s="24">
        <v>0.69444444444444442</v>
      </c>
      <c r="N161" s="8">
        <f>+M161-K161</f>
        <v>1.7361111111111049E-2</v>
      </c>
      <c r="O161" s="24">
        <f t="shared" si="13"/>
        <v>2.7083333333333348E-2</v>
      </c>
      <c r="P161" s="22">
        <v>1</v>
      </c>
      <c r="Q161" s="25" t="s">
        <v>49</v>
      </c>
      <c r="R161" s="22" t="str">
        <f>IF(COUNTIF(fest!$A$1:$A$18,B161)&gt;0,"FESTIVO", IF(OR(WEEKDAY(B161,2)=6,WEEKDAY(B161,2)=7),"NO HÁBIL","HÁBIL"))</f>
        <v>HÁBIL</v>
      </c>
    </row>
    <row r="162" spans="1:18" ht="15.75" customHeight="1" x14ac:dyDescent="0.2">
      <c r="A162" s="22" t="s">
        <v>44</v>
      </c>
      <c r="B162" s="23">
        <v>46150</v>
      </c>
      <c r="C162" s="6" t="s">
        <v>15</v>
      </c>
      <c r="D162" s="6" t="s">
        <v>17</v>
      </c>
      <c r="E162" s="6" t="s">
        <v>14</v>
      </c>
      <c r="F162" s="6" t="s">
        <v>13</v>
      </c>
      <c r="G162" s="24">
        <v>0.73958333333333337</v>
      </c>
      <c r="H162" s="24">
        <f t="shared" si="14"/>
        <v>0.76388888888888884</v>
      </c>
      <c r="I162" s="8">
        <f t="shared" si="15"/>
        <v>2.4305555555555469E-2</v>
      </c>
      <c r="J162" s="24">
        <v>0.69444444444444442</v>
      </c>
      <c r="K162" s="24">
        <v>0.70277777777777772</v>
      </c>
      <c r="L162" s="24">
        <f t="shared" si="12"/>
        <v>8.3333333333333037E-3</v>
      </c>
      <c r="M162" s="24">
        <v>0.72013888888888888</v>
      </c>
      <c r="N162" s="8">
        <f>+M162-K162</f>
        <v>1.736111111111116E-2</v>
      </c>
      <c r="O162" s="24">
        <f t="shared" si="13"/>
        <v>2.5694444444444464E-2</v>
      </c>
      <c r="P162" s="22">
        <v>0</v>
      </c>
      <c r="Q162" s="25" t="s">
        <v>45</v>
      </c>
      <c r="R162" s="22" t="str">
        <f>IF(COUNTIF(fest!$A$1:$A$18,B162)&gt;0,"FESTIVO", IF(OR(WEEKDAY(B162,2)=6,WEEKDAY(B162,2)=7),"NO HÁBIL","HÁBIL"))</f>
        <v>HÁBIL</v>
      </c>
    </row>
    <row r="163" spans="1:18" ht="15.75" customHeight="1" x14ac:dyDescent="0.2">
      <c r="A163" s="22" t="s">
        <v>44</v>
      </c>
      <c r="B163" s="23">
        <v>46150</v>
      </c>
      <c r="C163" s="6" t="s">
        <v>16</v>
      </c>
      <c r="D163" s="6" t="s">
        <v>17</v>
      </c>
      <c r="E163" s="6" t="s">
        <v>14</v>
      </c>
      <c r="F163" s="6" t="s">
        <v>13</v>
      </c>
      <c r="G163" s="24">
        <v>0.76388888888888884</v>
      </c>
      <c r="H163" s="24">
        <f t="shared" si="14"/>
        <v>0.27083333333333331</v>
      </c>
      <c r="I163" s="8">
        <f t="shared" si="15"/>
        <v>-0.49305555555555552</v>
      </c>
      <c r="J163" s="24">
        <v>0.72013888888888888</v>
      </c>
      <c r="K163" s="24">
        <v>0.73263888888888884</v>
      </c>
      <c r="L163" s="24">
        <f t="shared" si="12"/>
        <v>1.2499999999999956E-2</v>
      </c>
      <c r="M163" s="24">
        <f>+K163+N163</f>
        <v>0.75</v>
      </c>
      <c r="N163" s="8">
        <f>AVERAGE(N161:N162)</f>
        <v>1.7361111111111105E-2</v>
      </c>
      <c r="O163" s="24">
        <f t="shared" si="13"/>
        <v>2.9861111111111061E-2</v>
      </c>
      <c r="P163" s="22">
        <v>6</v>
      </c>
      <c r="Q163" s="25" t="s">
        <v>48</v>
      </c>
      <c r="R163" s="22" t="str">
        <f>IF(COUNTIF(fest!$A$1:$A$18,B163)&gt;0,"FESTIVO", IF(OR(WEEKDAY(B163,2)=6,WEEKDAY(B163,2)=7),"NO HÁBIL","HÁBIL"))</f>
        <v>HÁBIL</v>
      </c>
    </row>
    <row r="164" spans="1:18" ht="15.75" customHeight="1" x14ac:dyDescent="0.2">
      <c r="A164" s="22" t="s">
        <v>43</v>
      </c>
      <c r="B164" s="23">
        <v>46153</v>
      </c>
      <c r="C164" s="6" t="s">
        <v>11</v>
      </c>
      <c r="D164" s="6" t="s">
        <v>12</v>
      </c>
      <c r="E164" s="6" t="s">
        <v>13</v>
      </c>
      <c r="F164" s="6" t="s">
        <v>14</v>
      </c>
      <c r="G164" s="24">
        <v>0.27083333333333331</v>
      </c>
      <c r="H164" s="24">
        <f t="shared" si="14"/>
        <v>0.29166666666666669</v>
      </c>
      <c r="I164" s="8">
        <f t="shared" si="15"/>
        <v>2.083333333333337E-2</v>
      </c>
      <c r="J164" s="24">
        <v>0.2638888888888889</v>
      </c>
      <c r="K164" s="24">
        <v>0.27291666666666664</v>
      </c>
      <c r="L164" s="24">
        <f t="shared" si="12"/>
        <v>9.0277777777777457E-3</v>
      </c>
      <c r="M164" s="24">
        <v>0.28958333333333336</v>
      </c>
      <c r="N164" s="8">
        <f>+M164-K164</f>
        <v>1.6666666666666718E-2</v>
      </c>
      <c r="O164" s="24">
        <f t="shared" si="13"/>
        <v>2.5694444444444464E-2</v>
      </c>
      <c r="P164" s="22">
        <v>1</v>
      </c>
      <c r="Q164" s="25" t="s">
        <v>51</v>
      </c>
      <c r="R164" s="22" t="str">
        <f>IF(COUNTIF(fest!$A$1:$A$18,B164)&gt;0,"FESTIVO", IF(OR(WEEKDAY(B164,2)=6,WEEKDAY(B164,2)=7),"NO HÁBIL","HÁBIL"))</f>
        <v>HÁBIL</v>
      </c>
    </row>
    <row r="165" spans="1:18" ht="15.75" customHeight="1" x14ac:dyDescent="0.2">
      <c r="A165" s="22" t="s">
        <v>43</v>
      </c>
      <c r="B165" s="23">
        <v>46153</v>
      </c>
      <c r="C165" s="6" t="s">
        <v>15</v>
      </c>
      <c r="D165" s="6" t="s">
        <v>12</v>
      </c>
      <c r="E165" s="6" t="s">
        <v>13</v>
      </c>
      <c r="F165" s="6" t="s">
        <v>14</v>
      </c>
      <c r="G165" s="24">
        <v>0.29166666666666669</v>
      </c>
      <c r="H165" s="24">
        <f t="shared" si="14"/>
        <v>0.3125</v>
      </c>
      <c r="I165" s="8">
        <f t="shared" si="15"/>
        <v>2.0833333333333315E-2</v>
      </c>
      <c r="J165" s="24">
        <v>0.28958333333333336</v>
      </c>
      <c r="K165" s="24">
        <v>0.29444444444444445</v>
      </c>
      <c r="L165" s="24">
        <f t="shared" si="12"/>
        <v>4.8611111111110938E-3</v>
      </c>
      <c r="M165" s="24">
        <v>0.31041666666666667</v>
      </c>
      <c r="N165" s="8">
        <f>+M165-K165</f>
        <v>1.5972222222222221E-2</v>
      </c>
      <c r="O165" s="24">
        <f t="shared" si="13"/>
        <v>2.0833333333333315E-2</v>
      </c>
      <c r="P165" s="22">
        <v>2</v>
      </c>
      <c r="Q165" s="25" t="s">
        <v>51</v>
      </c>
      <c r="R165" s="22" t="str">
        <f>IF(COUNTIF(fest!$A$1:$A$18,B165)&gt;0,"FESTIVO", IF(OR(WEEKDAY(B165,2)=6,WEEKDAY(B165,2)=7),"NO HÁBIL","HÁBIL"))</f>
        <v>HÁBIL</v>
      </c>
    </row>
    <row r="166" spans="1:18" ht="15.75" customHeight="1" x14ac:dyDescent="0.2">
      <c r="A166" s="22" t="s">
        <v>43</v>
      </c>
      <c r="B166" s="23">
        <v>46153</v>
      </c>
      <c r="C166" s="6" t="s">
        <v>16</v>
      </c>
      <c r="D166" s="6" t="s">
        <v>12</v>
      </c>
      <c r="E166" s="6" t="s">
        <v>13</v>
      </c>
      <c r="F166" s="6" t="s">
        <v>14</v>
      </c>
      <c r="G166" s="24">
        <v>0.3125</v>
      </c>
      <c r="H166" s="24">
        <f t="shared" si="14"/>
        <v>0.71527777777777779</v>
      </c>
      <c r="I166" s="8">
        <f t="shared" si="15"/>
        <v>0.40277777777777779</v>
      </c>
      <c r="J166" s="24">
        <v>0.31041666666666667</v>
      </c>
      <c r="K166" s="24">
        <v>0.32083333333333336</v>
      </c>
      <c r="L166" s="24">
        <f t="shared" si="12"/>
        <v>1.0416666666666685E-2</v>
      </c>
      <c r="M166" s="24">
        <f>+K166+N166</f>
        <v>0.33715277777777786</v>
      </c>
      <c r="N166" s="8">
        <f>AVERAGE(N164:N165)</f>
        <v>1.631944444444447E-2</v>
      </c>
      <c r="O166" s="24">
        <f t="shared" si="13"/>
        <v>2.6736111111111155E-2</v>
      </c>
      <c r="P166" s="22">
        <v>0</v>
      </c>
      <c r="Q166" s="25" t="s">
        <v>51</v>
      </c>
      <c r="R166" s="22" t="str">
        <f>IF(COUNTIF(fest!$A$1:$A$18,B166)&gt;0,"FESTIVO", IF(OR(WEEKDAY(B166,2)=6,WEEKDAY(B166,2)=7),"NO HÁBIL","HÁBIL"))</f>
        <v>HÁBIL</v>
      </c>
    </row>
    <row r="167" spans="1:18" ht="15.75" customHeight="1" x14ac:dyDescent="0.2">
      <c r="A167" s="22" t="s">
        <v>44</v>
      </c>
      <c r="B167" s="23">
        <v>46153</v>
      </c>
      <c r="C167" s="6" t="s">
        <v>11</v>
      </c>
      <c r="D167" s="6" t="s">
        <v>17</v>
      </c>
      <c r="E167" s="6" t="s">
        <v>14</v>
      </c>
      <c r="F167" s="6" t="s">
        <v>13</v>
      </c>
      <c r="G167" s="24">
        <v>0.71527777777777779</v>
      </c>
      <c r="H167" s="24">
        <f t="shared" si="14"/>
        <v>0.73958333333333337</v>
      </c>
      <c r="I167" s="8">
        <f t="shared" si="15"/>
        <v>2.430555555555558E-2</v>
      </c>
      <c r="J167" s="24">
        <v>0.70833333333333337</v>
      </c>
      <c r="K167" s="24">
        <v>0.71736111111111112</v>
      </c>
      <c r="L167" s="24">
        <f t="shared" si="12"/>
        <v>9.0277777777777457E-3</v>
      </c>
      <c r="M167" s="24">
        <v>0.73958333333333337</v>
      </c>
      <c r="N167" s="8">
        <f>+M167-K167</f>
        <v>2.2222222222222254E-2</v>
      </c>
      <c r="O167" s="24">
        <f t="shared" si="13"/>
        <v>3.125E-2</v>
      </c>
      <c r="P167" s="22">
        <v>7</v>
      </c>
      <c r="Q167" s="25" t="s">
        <v>48</v>
      </c>
      <c r="R167" s="22" t="str">
        <f>IF(COUNTIF(fest!$A$1:$A$18,B167)&gt;0,"FESTIVO", IF(OR(WEEKDAY(B167,2)=6,WEEKDAY(B167,2)=7),"NO HÁBIL","HÁBIL"))</f>
        <v>HÁBIL</v>
      </c>
    </row>
    <row r="168" spans="1:18" ht="15.75" customHeight="1" x14ac:dyDescent="0.2">
      <c r="A168" s="22" t="s">
        <v>44</v>
      </c>
      <c r="B168" s="23">
        <v>46153</v>
      </c>
      <c r="C168" s="6" t="s">
        <v>15</v>
      </c>
      <c r="D168" s="6" t="s">
        <v>17</v>
      </c>
      <c r="E168" s="6" t="s">
        <v>14</v>
      </c>
      <c r="F168" s="6" t="s">
        <v>13</v>
      </c>
      <c r="G168" s="24">
        <v>0.73958333333333337</v>
      </c>
      <c r="H168" s="24">
        <f t="shared" si="14"/>
        <v>0.76388888888888884</v>
      </c>
      <c r="I168" s="8">
        <f t="shared" si="15"/>
        <v>2.4305555555555469E-2</v>
      </c>
      <c r="J168" s="24">
        <v>0.73958333333333337</v>
      </c>
      <c r="K168" s="24">
        <v>0.74583333333333335</v>
      </c>
      <c r="L168" s="24">
        <f t="shared" si="12"/>
        <v>6.2499999999999778E-3</v>
      </c>
      <c r="M168" s="24">
        <v>0.76111111111111107</v>
      </c>
      <c r="N168" s="8">
        <f>+M168-K168</f>
        <v>1.5277777777777724E-2</v>
      </c>
      <c r="O168" s="24">
        <f t="shared" si="13"/>
        <v>2.1527777777777701E-2</v>
      </c>
      <c r="P168" s="22">
        <v>1</v>
      </c>
      <c r="Q168" s="25" t="s">
        <v>49</v>
      </c>
      <c r="R168" s="22" t="str">
        <f>IF(COUNTIF(fest!$A$1:$A$18,B168)&gt;0,"FESTIVO", IF(OR(WEEKDAY(B168,2)=6,WEEKDAY(B168,2)=7),"NO HÁBIL","HÁBIL"))</f>
        <v>HÁBIL</v>
      </c>
    </row>
    <row r="169" spans="1:18" ht="15.75" customHeight="1" x14ac:dyDescent="0.2">
      <c r="A169" s="22" t="s">
        <v>44</v>
      </c>
      <c r="B169" s="23">
        <v>46153</v>
      </c>
      <c r="C169" s="6" t="s">
        <v>16</v>
      </c>
      <c r="D169" s="6" t="s">
        <v>17</v>
      </c>
      <c r="E169" s="6" t="s">
        <v>14</v>
      </c>
      <c r="F169" s="6" t="s">
        <v>13</v>
      </c>
      <c r="G169" s="24">
        <v>0.76388888888888884</v>
      </c>
      <c r="H169" s="24">
        <f t="shared" si="14"/>
        <v>0.27083333333333331</v>
      </c>
      <c r="I169" s="8">
        <f t="shared" si="15"/>
        <v>-0.49305555555555552</v>
      </c>
      <c r="J169" s="24">
        <v>0.76111111111111107</v>
      </c>
      <c r="K169" s="24">
        <v>0.76597222222222228</v>
      </c>
      <c r="L169" s="24">
        <f t="shared" si="12"/>
        <v>4.8611111111112049E-3</v>
      </c>
      <c r="M169" s="24">
        <f>+K169+N169</f>
        <v>0.78472222222222232</v>
      </c>
      <c r="N169" s="8">
        <f>AVERAGE(N167:N168)</f>
        <v>1.8749999999999989E-2</v>
      </c>
      <c r="O169" s="24">
        <f t="shared" si="13"/>
        <v>2.3611111111111194E-2</v>
      </c>
      <c r="P169" s="22">
        <v>2</v>
      </c>
      <c r="Q169" s="25" t="s">
        <v>47</v>
      </c>
      <c r="R169" s="22" t="str">
        <f>IF(COUNTIF(fest!$A$1:$A$18,B169)&gt;0,"FESTIVO", IF(OR(WEEKDAY(B169,2)=6,WEEKDAY(B169,2)=7),"NO HÁBIL","HÁBIL"))</f>
        <v>HÁBIL</v>
      </c>
    </row>
    <row r="170" spans="1:18" ht="15.75" customHeight="1" x14ac:dyDescent="0.2">
      <c r="A170" s="22" t="s">
        <v>43</v>
      </c>
      <c r="B170" s="23">
        <v>46154</v>
      </c>
      <c r="C170" s="6" t="s">
        <v>11</v>
      </c>
      <c r="D170" s="6" t="s">
        <v>12</v>
      </c>
      <c r="E170" s="6" t="s">
        <v>13</v>
      </c>
      <c r="F170" s="6" t="s">
        <v>14</v>
      </c>
      <c r="G170" s="24">
        <v>0.27083333333333331</v>
      </c>
      <c r="H170" s="24">
        <f t="shared" si="14"/>
        <v>0.29166666666666669</v>
      </c>
      <c r="I170" s="8">
        <f t="shared" si="15"/>
        <v>2.083333333333337E-2</v>
      </c>
      <c r="J170" s="24">
        <v>0.2638888888888889</v>
      </c>
      <c r="K170" s="24">
        <v>0.27291666666666664</v>
      </c>
      <c r="L170" s="24">
        <f t="shared" si="12"/>
        <v>9.0277777777777457E-3</v>
      </c>
      <c r="M170" s="24">
        <v>0.28888888888888886</v>
      </c>
      <c r="N170" s="8">
        <f>+M170-K170</f>
        <v>1.5972222222222221E-2</v>
      </c>
      <c r="O170" s="24">
        <f t="shared" si="13"/>
        <v>2.4999999999999967E-2</v>
      </c>
      <c r="P170" s="22">
        <v>2</v>
      </c>
      <c r="Q170" s="25" t="s">
        <v>51</v>
      </c>
      <c r="R170" s="22" t="str">
        <f>IF(COUNTIF(fest!$A$1:$A$18,B170)&gt;0,"FESTIVO", IF(OR(WEEKDAY(B170,2)=6,WEEKDAY(B170,2)=7),"NO HÁBIL","HÁBIL"))</f>
        <v>HÁBIL</v>
      </c>
    </row>
    <row r="171" spans="1:18" ht="15.75" customHeight="1" x14ac:dyDescent="0.2">
      <c r="A171" s="22" t="s">
        <v>43</v>
      </c>
      <c r="B171" s="23">
        <v>46154</v>
      </c>
      <c r="C171" s="6" t="s">
        <v>15</v>
      </c>
      <c r="D171" s="6" t="s">
        <v>12</v>
      </c>
      <c r="E171" s="6" t="s">
        <v>13</v>
      </c>
      <c r="F171" s="6" t="s">
        <v>14</v>
      </c>
      <c r="G171" s="24">
        <v>0.29166666666666669</v>
      </c>
      <c r="H171" s="24">
        <f t="shared" si="14"/>
        <v>0.3125</v>
      </c>
      <c r="I171" s="8">
        <f t="shared" si="15"/>
        <v>2.0833333333333315E-2</v>
      </c>
      <c r="J171" s="24">
        <v>0.28888888888888886</v>
      </c>
      <c r="K171" s="24">
        <v>0.29375000000000001</v>
      </c>
      <c r="L171" s="24">
        <f t="shared" si="12"/>
        <v>4.8611111111111494E-3</v>
      </c>
      <c r="M171" s="24">
        <v>0.31041666666666667</v>
      </c>
      <c r="N171" s="8">
        <f>+M171-K171</f>
        <v>1.6666666666666663E-2</v>
      </c>
      <c r="O171" s="24">
        <f t="shared" si="13"/>
        <v>2.1527777777777812E-2</v>
      </c>
      <c r="P171" s="22">
        <v>3</v>
      </c>
      <c r="Q171" s="25" t="s">
        <v>51</v>
      </c>
      <c r="R171" s="22" t="str">
        <f>IF(COUNTIF(fest!$A$1:$A$18,B171)&gt;0,"FESTIVO", IF(OR(WEEKDAY(B171,2)=6,WEEKDAY(B171,2)=7),"NO HÁBIL","HÁBIL"))</f>
        <v>HÁBIL</v>
      </c>
    </row>
    <row r="172" spans="1:18" ht="15.75" customHeight="1" x14ac:dyDescent="0.2">
      <c r="A172" s="22" t="s">
        <v>43</v>
      </c>
      <c r="B172" s="23">
        <v>46154</v>
      </c>
      <c r="C172" s="6" t="s">
        <v>16</v>
      </c>
      <c r="D172" s="6" t="s">
        <v>12</v>
      </c>
      <c r="E172" s="6" t="s">
        <v>13</v>
      </c>
      <c r="F172" s="6" t="s">
        <v>14</v>
      </c>
      <c r="G172" s="24">
        <v>0.3125</v>
      </c>
      <c r="H172" s="24">
        <f t="shared" si="14"/>
        <v>0.71527777777777779</v>
      </c>
      <c r="I172" s="8">
        <f t="shared" si="15"/>
        <v>0.40277777777777779</v>
      </c>
      <c r="J172" s="24">
        <v>0.31041666666666667</v>
      </c>
      <c r="K172" s="24">
        <v>0.32222222222222224</v>
      </c>
      <c r="L172" s="24">
        <f t="shared" si="12"/>
        <v>1.1805555555555569E-2</v>
      </c>
      <c r="M172" s="24">
        <f>+K172+N172</f>
        <v>0.33854166666666669</v>
      </c>
      <c r="N172" s="8">
        <f>AVERAGE(N170:N171)</f>
        <v>1.6319444444444442E-2</v>
      </c>
      <c r="O172" s="24">
        <f t="shared" si="13"/>
        <v>2.8125000000000011E-2</v>
      </c>
      <c r="P172" s="22">
        <v>0</v>
      </c>
      <c r="Q172" s="25" t="s">
        <v>51</v>
      </c>
      <c r="R172" s="22" t="str">
        <f>IF(COUNTIF(fest!$A$1:$A$18,B172)&gt;0,"FESTIVO", IF(OR(WEEKDAY(B172,2)=6,WEEKDAY(B172,2)=7),"NO HÁBIL","HÁBIL"))</f>
        <v>HÁBIL</v>
      </c>
    </row>
    <row r="173" spans="1:18" ht="15.75" customHeight="1" x14ac:dyDescent="0.2">
      <c r="A173" s="22" t="s">
        <v>44</v>
      </c>
      <c r="B173" s="23">
        <v>46154</v>
      </c>
      <c r="C173" s="6" t="s">
        <v>11</v>
      </c>
      <c r="D173" s="6" t="s">
        <v>17</v>
      </c>
      <c r="E173" s="6" t="s">
        <v>14</v>
      </c>
      <c r="F173" s="6" t="s">
        <v>13</v>
      </c>
      <c r="G173" s="24">
        <v>0.71527777777777779</v>
      </c>
      <c r="H173" s="24">
        <f t="shared" si="14"/>
        <v>0.73958333333333337</v>
      </c>
      <c r="I173" s="8">
        <f t="shared" si="15"/>
        <v>2.430555555555558E-2</v>
      </c>
      <c r="J173" s="24">
        <v>0.70833333333333337</v>
      </c>
      <c r="K173" s="24">
        <v>0.71805555555555556</v>
      </c>
      <c r="L173" s="24">
        <f t="shared" si="12"/>
        <v>9.7222222222221877E-3</v>
      </c>
      <c r="M173" s="24">
        <v>0.75</v>
      </c>
      <c r="N173" s="8">
        <f>+M173-K173</f>
        <v>3.1944444444444442E-2</v>
      </c>
      <c r="O173" s="24">
        <f t="shared" si="13"/>
        <v>4.166666666666663E-2</v>
      </c>
      <c r="P173" s="22">
        <v>8</v>
      </c>
      <c r="Q173" s="25" t="s">
        <v>48</v>
      </c>
      <c r="R173" s="22" t="str">
        <f>IF(COUNTIF(fest!$A$1:$A$18,B173)&gt;0,"FESTIVO", IF(OR(WEEKDAY(B173,2)=6,WEEKDAY(B173,2)=7),"NO HÁBIL","HÁBIL"))</f>
        <v>HÁBIL</v>
      </c>
    </row>
    <row r="174" spans="1:18" ht="15.75" customHeight="1" x14ac:dyDescent="0.2">
      <c r="A174" s="22" t="s">
        <v>44</v>
      </c>
      <c r="B174" s="23">
        <v>46154</v>
      </c>
      <c r="C174" s="6" t="s">
        <v>15</v>
      </c>
      <c r="D174" s="6" t="s">
        <v>17</v>
      </c>
      <c r="E174" s="6" t="s">
        <v>14</v>
      </c>
      <c r="F174" s="6" t="s">
        <v>13</v>
      </c>
      <c r="G174" s="24">
        <v>0.73958333333333337</v>
      </c>
      <c r="H174" s="24">
        <f t="shared" si="14"/>
        <v>0.76388888888888884</v>
      </c>
      <c r="I174" s="8">
        <f t="shared" si="15"/>
        <v>2.4305555555555469E-2</v>
      </c>
      <c r="J174" s="24">
        <v>0.75</v>
      </c>
      <c r="K174" s="24">
        <v>0.76597222222222228</v>
      </c>
      <c r="L174" s="24">
        <f t="shared" si="12"/>
        <v>1.5972222222222276E-2</v>
      </c>
      <c r="M174" s="24">
        <v>0.77847222222222223</v>
      </c>
      <c r="N174" s="8">
        <f>+M174-K174</f>
        <v>1.2499999999999956E-2</v>
      </c>
      <c r="O174" s="24">
        <f t="shared" si="13"/>
        <v>2.8472222222222232E-2</v>
      </c>
      <c r="P174" s="22">
        <v>4</v>
      </c>
      <c r="Q174" s="25" t="s">
        <v>48</v>
      </c>
      <c r="R174" s="22" t="str">
        <f>IF(COUNTIF(fest!$A$1:$A$18,B174)&gt;0,"FESTIVO", IF(OR(WEEKDAY(B174,2)=6,WEEKDAY(B174,2)=7),"NO HÁBIL","HÁBIL"))</f>
        <v>HÁBIL</v>
      </c>
    </row>
    <row r="175" spans="1:18" ht="15.75" customHeight="1" x14ac:dyDescent="0.2">
      <c r="A175" s="22" t="s">
        <v>44</v>
      </c>
      <c r="B175" s="23">
        <v>46154</v>
      </c>
      <c r="C175" s="6" t="s">
        <v>16</v>
      </c>
      <c r="D175" s="6" t="s">
        <v>17</v>
      </c>
      <c r="E175" s="6" t="s">
        <v>14</v>
      </c>
      <c r="F175" s="6" t="s">
        <v>13</v>
      </c>
      <c r="G175" s="24">
        <v>0.76388888888888884</v>
      </c>
      <c r="H175" s="24">
        <f t="shared" si="14"/>
        <v>0.27083333333333331</v>
      </c>
      <c r="I175" s="8">
        <f t="shared" si="15"/>
        <v>-0.49305555555555552</v>
      </c>
      <c r="J175" s="24">
        <v>0</v>
      </c>
      <c r="K175" s="24">
        <v>0</v>
      </c>
      <c r="L175" s="24">
        <f t="shared" si="12"/>
        <v>0</v>
      </c>
      <c r="M175" s="24">
        <v>0</v>
      </c>
      <c r="N175" s="8">
        <f>+M175-K175</f>
        <v>0</v>
      </c>
      <c r="O175" s="24">
        <f t="shared" si="13"/>
        <v>0</v>
      </c>
      <c r="P175" s="22">
        <v>0</v>
      </c>
      <c r="Q175" s="25" t="s">
        <v>46</v>
      </c>
      <c r="R175" s="22" t="str">
        <f>IF(COUNTIF(fest!$A$1:$A$18,B175)&gt;0,"FESTIVO", IF(OR(WEEKDAY(B175,2)=6,WEEKDAY(B175,2)=7),"NO HÁBIL","HÁBIL"))</f>
        <v>HÁBIL</v>
      </c>
    </row>
    <row r="176" spans="1:18" ht="15.75" customHeight="1" x14ac:dyDescent="0.2">
      <c r="A176" s="22" t="s">
        <v>43</v>
      </c>
      <c r="B176" s="23">
        <v>46155</v>
      </c>
      <c r="C176" s="6" t="s">
        <v>11</v>
      </c>
      <c r="D176" s="6" t="s">
        <v>12</v>
      </c>
      <c r="E176" s="6" t="s">
        <v>13</v>
      </c>
      <c r="F176" s="6" t="s">
        <v>14</v>
      </c>
      <c r="G176" s="24">
        <v>0.27083333333333331</v>
      </c>
      <c r="H176" s="24">
        <f t="shared" si="14"/>
        <v>0.29166666666666669</v>
      </c>
      <c r="I176" s="8">
        <f t="shared" si="15"/>
        <v>2.083333333333337E-2</v>
      </c>
      <c r="J176" s="24">
        <v>0.26458333333333334</v>
      </c>
      <c r="K176" s="24">
        <v>0.27291666666666664</v>
      </c>
      <c r="L176" s="24">
        <f t="shared" si="12"/>
        <v>8.3333333333333037E-3</v>
      </c>
      <c r="M176" s="24">
        <v>0.28888888888888886</v>
      </c>
      <c r="N176" s="8">
        <f>+M176-K176</f>
        <v>1.5972222222222221E-2</v>
      </c>
      <c r="O176" s="24">
        <f t="shared" si="13"/>
        <v>2.4305555555555525E-2</v>
      </c>
      <c r="P176" s="22">
        <v>3</v>
      </c>
      <c r="Q176" s="25" t="s">
        <v>51</v>
      </c>
      <c r="R176" s="22" t="str">
        <f>IF(COUNTIF(fest!$A$1:$A$18,B176)&gt;0,"FESTIVO", IF(OR(WEEKDAY(B176,2)=6,WEEKDAY(B176,2)=7),"NO HÁBIL","HÁBIL"))</f>
        <v>HÁBIL</v>
      </c>
    </row>
    <row r="177" spans="1:18" ht="15.75" customHeight="1" x14ac:dyDescent="0.2">
      <c r="A177" s="22" t="s">
        <v>43</v>
      </c>
      <c r="B177" s="23">
        <v>46155</v>
      </c>
      <c r="C177" s="6" t="s">
        <v>15</v>
      </c>
      <c r="D177" s="6" t="s">
        <v>12</v>
      </c>
      <c r="E177" s="6" t="s">
        <v>13</v>
      </c>
      <c r="F177" s="6" t="s">
        <v>14</v>
      </c>
      <c r="G177" s="24">
        <v>0.29166666666666669</v>
      </c>
      <c r="H177" s="24">
        <f t="shared" si="14"/>
        <v>0.3125</v>
      </c>
      <c r="I177" s="8">
        <f t="shared" si="15"/>
        <v>2.0833333333333315E-2</v>
      </c>
      <c r="J177" s="24">
        <v>0.28888888888888886</v>
      </c>
      <c r="K177" s="24">
        <v>0.29444444444444445</v>
      </c>
      <c r="L177" s="24">
        <f t="shared" si="12"/>
        <v>5.5555555555555913E-3</v>
      </c>
      <c r="M177" s="24">
        <v>0.30902777777777779</v>
      </c>
      <c r="N177" s="8">
        <f>+M177-K177</f>
        <v>1.4583333333333337E-2</v>
      </c>
      <c r="O177" s="24">
        <f t="shared" si="13"/>
        <v>2.0138888888888928E-2</v>
      </c>
      <c r="P177" s="22">
        <v>2</v>
      </c>
      <c r="Q177" s="25" t="s">
        <v>51</v>
      </c>
      <c r="R177" s="22" t="str">
        <f>IF(COUNTIF(fest!$A$1:$A$18,B177)&gt;0,"FESTIVO", IF(OR(WEEKDAY(B177,2)=6,WEEKDAY(B177,2)=7),"NO HÁBIL","HÁBIL"))</f>
        <v>HÁBIL</v>
      </c>
    </row>
    <row r="178" spans="1:18" ht="15.75" customHeight="1" x14ac:dyDescent="0.2">
      <c r="A178" s="22" t="s">
        <v>43</v>
      </c>
      <c r="B178" s="23">
        <v>46155</v>
      </c>
      <c r="C178" s="6" t="s">
        <v>16</v>
      </c>
      <c r="D178" s="6" t="s">
        <v>12</v>
      </c>
      <c r="E178" s="6" t="s">
        <v>13</v>
      </c>
      <c r="F178" s="6" t="s">
        <v>14</v>
      </c>
      <c r="G178" s="24">
        <v>0.3125</v>
      </c>
      <c r="H178" s="24">
        <f t="shared" si="14"/>
        <v>0.71527777777777779</v>
      </c>
      <c r="I178" s="8">
        <f t="shared" si="15"/>
        <v>0.40277777777777779</v>
      </c>
      <c r="J178" s="24">
        <v>0.30902777777777779</v>
      </c>
      <c r="K178" s="24">
        <v>0.31458333333333333</v>
      </c>
      <c r="L178" s="24">
        <f t="shared" si="12"/>
        <v>5.5555555555555358E-3</v>
      </c>
      <c r="M178" s="24">
        <f>+K178+N178</f>
        <v>0.3298611111111111</v>
      </c>
      <c r="N178" s="8">
        <f>AVERAGE(N176:N177)</f>
        <v>1.5277777777777779E-2</v>
      </c>
      <c r="O178" s="24">
        <f t="shared" si="13"/>
        <v>2.0833333333333315E-2</v>
      </c>
      <c r="P178" s="22">
        <v>2</v>
      </c>
      <c r="Q178" s="25" t="s">
        <v>51</v>
      </c>
      <c r="R178" s="22" t="str">
        <f>IF(COUNTIF(fest!$A$1:$A$18,B178)&gt;0,"FESTIVO", IF(OR(WEEKDAY(B178,2)=6,WEEKDAY(B178,2)=7),"NO HÁBIL","HÁBIL"))</f>
        <v>HÁBIL</v>
      </c>
    </row>
    <row r="179" spans="1:18" ht="15.75" customHeight="1" x14ac:dyDescent="0.2">
      <c r="A179" s="22" t="s">
        <v>44</v>
      </c>
      <c r="B179" s="23">
        <v>46155</v>
      </c>
      <c r="C179" s="6" t="s">
        <v>11</v>
      </c>
      <c r="D179" s="6" t="s">
        <v>17</v>
      </c>
      <c r="E179" s="6" t="s">
        <v>14</v>
      </c>
      <c r="F179" s="6" t="s">
        <v>13</v>
      </c>
      <c r="G179" s="24">
        <v>0.71527777777777779</v>
      </c>
      <c r="H179" s="24">
        <f t="shared" si="14"/>
        <v>0.73958333333333337</v>
      </c>
      <c r="I179" s="8">
        <f t="shared" si="15"/>
        <v>2.430555555555558E-2</v>
      </c>
      <c r="J179" s="24">
        <v>0.70972222222222225</v>
      </c>
      <c r="K179" s="24">
        <v>0.71805555555555556</v>
      </c>
      <c r="L179" s="24">
        <f t="shared" si="12"/>
        <v>8.3333333333333037E-3</v>
      </c>
      <c r="M179" s="24">
        <v>0.75138888888888888</v>
      </c>
      <c r="N179" s="8">
        <f>+M179-K179</f>
        <v>3.3333333333333326E-2</v>
      </c>
      <c r="O179" s="24">
        <f t="shared" si="13"/>
        <v>4.166666666666663E-2</v>
      </c>
      <c r="P179" s="22">
        <v>3</v>
      </c>
      <c r="Q179" s="25" t="s">
        <v>48</v>
      </c>
      <c r="R179" s="22" t="str">
        <f>IF(COUNTIF(fest!$A$1:$A$18,B179)&gt;0,"FESTIVO", IF(OR(WEEKDAY(B179,2)=6,WEEKDAY(B179,2)=7),"NO HÁBIL","HÁBIL"))</f>
        <v>HÁBIL</v>
      </c>
    </row>
    <row r="180" spans="1:18" ht="15.75" customHeight="1" x14ac:dyDescent="0.2">
      <c r="A180" s="22" t="s">
        <v>44</v>
      </c>
      <c r="B180" s="23">
        <v>46155</v>
      </c>
      <c r="C180" s="6" t="s">
        <v>15</v>
      </c>
      <c r="D180" s="6" t="s">
        <v>17</v>
      </c>
      <c r="E180" s="6" t="s">
        <v>14</v>
      </c>
      <c r="F180" s="6" t="s">
        <v>13</v>
      </c>
      <c r="G180" s="24">
        <v>0.73958333333333337</v>
      </c>
      <c r="H180" s="24">
        <f t="shared" si="14"/>
        <v>0.76388888888888884</v>
      </c>
      <c r="I180" s="8">
        <f t="shared" si="15"/>
        <v>2.4305555555555469E-2</v>
      </c>
      <c r="J180" s="24">
        <v>0.75138888888888888</v>
      </c>
      <c r="K180" s="24">
        <v>0.76666666666666672</v>
      </c>
      <c r="L180" s="24">
        <f t="shared" si="12"/>
        <v>1.5277777777777835E-2</v>
      </c>
      <c r="M180" s="24">
        <v>0.78819444444444442</v>
      </c>
      <c r="N180" s="8">
        <f>+M180-K180</f>
        <v>2.1527777777777701E-2</v>
      </c>
      <c r="O180" s="24">
        <f t="shared" si="13"/>
        <v>3.6805555555555536E-2</v>
      </c>
      <c r="P180" s="22">
        <v>10</v>
      </c>
      <c r="Q180" s="25" t="s">
        <v>48</v>
      </c>
      <c r="R180" s="22" t="str">
        <f>IF(COUNTIF(fest!$A$1:$A$18,B180)&gt;0,"FESTIVO", IF(OR(WEEKDAY(B180,2)=6,WEEKDAY(B180,2)=7),"NO HÁBIL","HÁBIL"))</f>
        <v>HÁBIL</v>
      </c>
    </row>
    <row r="181" spans="1:18" ht="15.75" customHeight="1" x14ac:dyDescent="0.2">
      <c r="A181" s="22" t="s">
        <v>44</v>
      </c>
      <c r="B181" s="23">
        <v>46155</v>
      </c>
      <c r="C181" s="6" t="s">
        <v>16</v>
      </c>
      <c r="D181" s="6" t="s">
        <v>17</v>
      </c>
      <c r="E181" s="6" t="s">
        <v>14</v>
      </c>
      <c r="F181" s="6" t="s">
        <v>13</v>
      </c>
      <c r="G181" s="24">
        <v>0.76388888888888884</v>
      </c>
      <c r="H181" s="24">
        <f t="shared" si="14"/>
        <v>0.27083333333333331</v>
      </c>
      <c r="I181" s="8">
        <f t="shared" si="15"/>
        <v>-0.49305555555555552</v>
      </c>
      <c r="J181" s="24">
        <v>0</v>
      </c>
      <c r="K181" s="24">
        <v>0</v>
      </c>
      <c r="L181" s="24">
        <f t="shared" si="12"/>
        <v>0</v>
      </c>
      <c r="M181" s="24">
        <v>0</v>
      </c>
      <c r="N181" s="8">
        <f>+M181-K181</f>
        <v>0</v>
      </c>
      <c r="O181" s="24">
        <f t="shared" si="13"/>
        <v>0</v>
      </c>
      <c r="P181" s="22">
        <v>0</v>
      </c>
      <c r="Q181" s="25" t="s">
        <v>46</v>
      </c>
      <c r="R181" s="22" t="str">
        <f>IF(COUNTIF(fest!$A$1:$A$18,B181)&gt;0,"FESTIVO", IF(OR(WEEKDAY(B181,2)=6,WEEKDAY(B181,2)=7),"NO HÁBIL","HÁBIL"))</f>
        <v>HÁBIL</v>
      </c>
    </row>
    <row r="182" spans="1:18" ht="15.75" customHeight="1" x14ac:dyDescent="0.2">
      <c r="A182" s="22" t="s">
        <v>43</v>
      </c>
      <c r="B182" s="23">
        <v>46156</v>
      </c>
      <c r="C182" s="6" t="s">
        <v>11</v>
      </c>
      <c r="D182" s="6" t="s">
        <v>12</v>
      </c>
      <c r="E182" s="6" t="s">
        <v>13</v>
      </c>
      <c r="F182" s="6" t="s">
        <v>14</v>
      </c>
      <c r="G182" s="24">
        <v>0.27083333333333331</v>
      </c>
      <c r="H182" s="24">
        <f t="shared" si="14"/>
        <v>0.29166666666666669</v>
      </c>
      <c r="I182" s="8">
        <f t="shared" si="15"/>
        <v>2.083333333333337E-2</v>
      </c>
      <c r="J182" s="24">
        <v>0.2638888888888889</v>
      </c>
      <c r="K182" s="24">
        <v>0.27291666666666664</v>
      </c>
      <c r="L182" s="24">
        <f t="shared" si="12"/>
        <v>9.0277777777777457E-3</v>
      </c>
      <c r="M182" s="24">
        <v>0.28819444444444442</v>
      </c>
      <c r="N182" s="8">
        <f>+M182-K182</f>
        <v>1.5277777777777779E-2</v>
      </c>
      <c r="O182" s="24">
        <f t="shared" si="13"/>
        <v>2.4305555555555525E-2</v>
      </c>
      <c r="P182" s="22">
        <v>2</v>
      </c>
      <c r="Q182" s="25" t="s">
        <v>51</v>
      </c>
      <c r="R182" s="22" t="str">
        <f>IF(COUNTIF(fest!$A$1:$A$18,B182)&gt;0,"FESTIVO", IF(OR(WEEKDAY(B182,2)=6,WEEKDAY(B182,2)=7),"NO HÁBIL","HÁBIL"))</f>
        <v>HÁBIL</v>
      </c>
    </row>
    <row r="183" spans="1:18" ht="15.75" customHeight="1" x14ac:dyDescent="0.2">
      <c r="A183" s="22" t="s">
        <v>43</v>
      </c>
      <c r="B183" s="23">
        <v>46156</v>
      </c>
      <c r="C183" s="6" t="s">
        <v>15</v>
      </c>
      <c r="D183" s="6" t="s">
        <v>12</v>
      </c>
      <c r="E183" s="6" t="s">
        <v>13</v>
      </c>
      <c r="F183" s="6" t="s">
        <v>14</v>
      </c>
      <c r="G183" s="24">
        <v>0.29166666666666669</v>
      </c>
      <c r="H183" s="24">
        <f t="shared" si="14"/>
        <v>0.3125</v>
      </c>
      <c r="I183" s="8">
        <f t="shared" si="15"/>
        <v>2.0833333333333315E-2</v>
      </c>
      <c r="J183" s="24">
        <v>0.28819444444444442</v>
      </c>
      <c r="K183" s="24">
        <v>0.2986111111111111</v>
      </c>
      <c r="L183" s="24">
        <f t="shared" si="12"/>
        <v>1.0416666666666685E-2</v>
      </c>
      <c r="M183" s="24">
        <v>0.30833333333333335</v>
      </c>
      <c r="N183" s="8">
        <f>+M183-K183</f>
        <v>9.7222222222222432E-3</v>
      </c>
      <c r="O183" s="24">
        <f t="shared" si="13"/>
        <v>2.0138888888888928E-2</v>
      </c>
      <c r="P183" s="22">
        <v>0</v>
      </c>
      <c r="Q183" s="25" t="s">
        <v>51</v>
      </c>
      <c r="R183" s="22" t="str">
        <f>IF(COUNTIF(fest!$A$1:$A$18,B183)&gt;0,"FESTIVO", IF(OR(WEEKDAY(B183,2)=6,WEEKDAY(B183,2)=7),"NO HÁBIL","HÁBIL"))</f>
        <v>HÁBIL</v>
      </c>
    </row>
    <row r="184" spans="1:18" ht="15.75" customHeight="1" x14ac:dyDescent="0.2">
      <c r="A184" s="22" t="s">
        <v>43</v>
      </c>
      <c r="B184" s="23">
        <v>46156</v>
      </c>
      <c r="C184" s="6" t="s">
        <v>16</v>
      </c>
      <c r="D184" s="6" t="s">
        <v>12</v>
      </c>
      <c r="E184" s="6" t="s">
        <v>13</v>
      </c>
      <c r="F184" s="6" t="s">
        <v>14</v>
      </c>
      <c r="G184" s="24">
        <v>0.3125</v>
      </c>
      <c r="H184" s="24">
        <f t="shared" si="14"/>
        <v>0.71527777777777779</v>
      </c>
      <c r="I184" s="8">
        <f t="shared" si="15"/>
        <v>0.40277777777777779</v>
      </c>
      <c r="J184" s="24">
        <v>0.30833333333333335</v>
      </c>
      <c r="K184" s="24">
        <v>0.31944444444444442</v>
      </c>
      <c r="L184" s="24">
        <f t="shared" si="12"/>
        <v>1.1111111111111072E-2</v>
      </c>
      <c r="M184" s="24">
        <f>+K184+N184</f>
        <v>0.33194444444444443</v>
      </c>
      <c r="N184" s="8">
        <f>AVERAGE(N182:N183)</f>
        <v>1.2500000000000011E-2</v>
      </c>
      <c r="O184" s="24">
        <f t="shared" si="13"/>
        <v>2.3611111111111083E-2</v>
      </c>
      <c r="P184" s="22">
        <v>0</v>
      </c>
      <c r="Q184" s="25" t="s">
        <v>51</v>
      </c>
      <c r="R184" s="22" t="str">
        <f>IF(COUNTIF(fest!$A$1:$A$18,B184)&gt;0,"FESTIVO", IF(OR(WEEKDAY(B184,2)=6,WEEKDAY(B184,2)=7),"NO HÁBIL","HÁBIL"))</f>
        <v>HÁBIL</v>
      </c>
    </row>
    <row r="185" spans="1:18" ht="15.75" customHeight="1" x14ac:dyDescent="0.2">
      <c r="A185" s="22" t="s">
        <v>44</v>
      </c>
      <c r="B185" s="23">
        <v>46156</v>
      </c>
      <c r="C185" s="6" t="s">
        <v>11</v>
      </c>
      <c r="D185" s="6" t="s">
        <v>17</v>
      </c>
      <c r="E185" s="6" t="s">
        <v>14</v>
      </c>
      <c r="F185" s="6" t="s">
        <v>13</v>
      </c>
      <c r="G185" s="24">
        <v>0.71527777777777779</v>
      </c>
      <c r="H185" s="24">
        <f t="shared" si="14"/>
        <v>0.73958333333333337</v>
      </c>
      <c r="I185" s="8">
        <f t="shared" si="15"/>
        <v>2.430555555555558E-2</v>
      </c>
      <c r="J185" s="24">
        <v>0.70902777777777781</v>
      </c>
      <c r="K185" s="24">
        <v>0.71736111111111112</v>
      </c>
      <c r="L185" s="24">
        <f t="shared" si="12"/>
        <v>8.3333333333333037E-3</v>
      </c>
      <c r="M185" s="24">
        <v>0.73958333333333337</v>
      </c>
      <c r="N185" s="8">
        <f>+M185-K185</f>
        <v>2.2222222222222254E-2</v>
      </c>
      <c r="O185" s="24">
        <f t="shared" si="13"/>
        <v>3.0555555555555558E-2</v>
      </c>
      <c r="P185" s="22">
        <v>4</v>
      </c>
      <c r="Q185" s="25" t="s">
        <v>48</v>
      </c>
      <c r="R185" s="22" t="str">
        <f>IF(COUNTIF(fest!$A$1:$A$18,B185)&gt;0,"FESTIVO", IF(OR(WEEKDAY(B185,2)=6,WEEKDAY(B185,2)=7),"NO HÁBIL","HÁBIL"))</f>
        <v>HÁBIL</v>
      </c>
    </row>
    <row r="186" spans="1:18" ht="15.75" customHeight="1" x14ac:dyDescent="0.2">
      <c r="A186" s="22" t="s">
        <v>44</v>
      </c>
      <c r="B186" s="23">
        <v>46156</v>
      </c>
      <c r="C186" s="6" t="s">
        <v>15</v>
      </c>
      <c r="D186" s="6" t="s">
        <v>17</v>
      </c>
      <c r="E186" s="6" t="s">
        <v>14</v>
      </c>
      <c r="F186" s="6" t="s">
        <v>13</v>
      </c>
      <c r="G186" s="24">
        <v>0.73958333333333337</v>
      </c>
      <c r="H186" s="24">
        <f t="shared" si="14"/>
        <v>0.76388888888888884</v>
      </c>
      <c r="I186" s="8">
        <f t="shared" si="15"/>
        <v>2.4305555555555469E-2</v>
      </c>
      <c r="J186" s="24">
        <v>0.73958333333333337</v>
      </c>
      <c r="K186" s="24">
        <v>0.74791666666666667</v>
      </c>
      <c r="L186" s="24">
        <f t="shared" si="12"/>
        <v>8.3333333333333037E-3</v>
      </c>
      <c r="M186" s="24">
        <v>0.76041666666666663</v>
      </c>
      <c r="N186" s="8">
        <f>+M186-K186</f>
        <v>1.2499999999999956E-2</v>
      </c>
      <c r="O186" s="24">
        <f t="shared" si="13"/>
        <v>2.0833333333333259E-2</v>
      </c>
      <c r="P186" s="22">
        <v>0</v>
      </c>
      <c r="Q186" s="25" t="s">
        <v>45</v>
      </c>
      <c r="R186" s="22" t="str">
        <f>IF(COUNTIF(fest!$A$1:$A$18,B186)&gt;0,"FESTIVO", IF(OR(WEEKDAY(B186,2)=6,WEEKDAY(B186,2)=7),"NO HÁBIL","HÁBIL"))</f>
        <v>HÁBIL</v>
      </c>
    </row>
    <row r="187" spans="1:18" ht="15.75" customHeight="1" x14ac:dyDescent="0.2">
      <c r="A187" s="22" t="s">
        <v>44</v>
      </c>
      <c r="B187" s="23">
        <v>46156</v>
      </c>
      <c r="C187" s="6" t="s">
        <v>16</v>
      </c>
      <c r="D187" s="6" t="s">
        <v>17</v>
      </c>
      <c r="E187" s="6" t="s">
        <v>14</v>
      </c>
      <c r="F187" s="6" t="s">
        <v>13</v>
      </c>
      <c r="G187" s="24">
        <v>0.76388888888888884</v>
      </c>
      <c r="H187" s="24">
        <f t="shared" si="14"/>
        <v>0.27083333333333331</v>
      </c>
      <c r="I187" s="8">
        <f t="shared" si="15"/>
        <v>-0.49305555555555552</v>
      </c>
      <c r="J187" s="24">
        <v>0.76041666666666663</v>
      </c>
      <c r="K187" s="24">
        <v>0.76597222222222228</v>
      </c>
      <c r="L187" s="24">
        <f t="shared" si="12"/>
        <v>5.5555555555556468E-3</v>
      </c>
      <c r="M187" s="24">
        <f>+K187+N187</f>
        <v>0.78333333333333344</v>
      </c>
      <c r="N187" s="8">
        <f>AVERAGE(N185:N186)</f>
        <v>1.7361111111111105E-2</v>
      </c>
      <c r="O187" s="24">
        <f t="shared" si="13"/>
        <v>2.2916666666666752E-2</v>
      </c>
      <c r="P187" s="22">
        <v>4</v>
      </c>
      <c r="Q187" s="25" t="s">
        <v>48</v>
      </c>
      <c r="R187" s="22" t="str">
        <f>IF(COUNTIF(fest!$A$1:$A$18,B187)&gt;0,"FESTIVO", IF(OR(WEEKDAY(B187,2)=6,WEEKDAY(B187,2)=7),"NO HÁBIL","HÁBIL"))</f>
        <v>HÁBIL</v>
      </c>
    </row>
    <row r="188" spans="1:18" ht="15.75" customHeight="1" x14ac:dyDescent="0.2">
      <c r="A188" s="22" t="s">
        <v>43</v>
      </c>
      <c r="B188" s="23">
        <v>46157</v>
      </c>
      <c r="C188" s="6" t="s">
        <v>11</v>
      </c>
      <c r="D188" s="6" t="s">
        <v>12</v>
      </c>
      <c r="E188" s="6" t="s">
        <v>13</v>
      </c>
      <c r="F188" s="6" t="s">
        <v>14</v>
      </c>
      <c r="G188" s="24">
        <v>0.27083333333333331</v>
      </c>
      <c r="H188" s="24">
        <f t="shared" si="14"/>
        <v>0.29166666666666669</v>
      </c>
      <c r="I188" s="8">
        <f t="shared" si="15"/>
        <v>2.083333333333337E-2</v>
      </c>
      <c r="J188" s="24">
        <v>0.2638888888888889</v>
      </c>
      <c r="K188" s="24">
        <v>0.27291666666666664</v>
      </c>
      <c r="L188" s="24">
        <f t="shared" si="12"/>
        <v>9.0277777777777457E-3</v>
      </c>
      <c r="M188" s="24">
        <v>0.28819444444444442</v>
      </c>
      <c r="N188" s="8">
        <f>+M188-K188</f>
        <v>1.5277777777777779E-2</v>
      </c>
      <c r="O188" s="24">
        <f t="shared" si="13"/>
        <v>2.4305555555555525E-2</v>
      </c>
      <c r="P188" s="22">
        <v>1</v>
      </c>
      <c r="Q188" s="25" t="s">
        <v>51</v>
      </c>
      <c r="R188" s="22" t="str">
        <f>IF(COUNTIF(fest!$A$1:$A$18,B188)&gt;0,"FESTIVO", IF(OR(WEEKDAY(B188,2)=6,WEEKDAY(B188,2)=7),"NO HÁBIL","HÁBIL"))</f>
        <v>HÁBIL</v>
      </c>
    </row>
    <row r="189" spans="1:18" ht="15.75" customHeight="1" x14ac:dyDescent="0.2">
      <c r="A189" s="22" t="s">
        <v>43</v>
      </c>
      <c r="B189" s="23">
        <v>46157</v>
      </c>
      <c r="C189" s="6" t="s">
        <v>15</v>
      </c>
      <c r="D189" s="6" t="s">
        <v>12</v>
      </c>
      <c r="E189" s="6" t="s">
        <v>13</v>
      </c>
      <c r="F189" s="6" t="s">
        <v>14</v>
      </c>
      <c r="G189" s="24">
        <v>0.29166666666666669</v>
      </c>
      <c r="H189" s="24">
        <f t="shared" si="14"/>
        <v>0.3125</v>
      </c>
      <c r="I189" s="8">
        <f t="shared" si="15"/>
        <v>2.0833333333333315E-2</v>
      </c>
      <c r="J189" s="24">
        <v>0.28819444444444442</v>
      </c>
      <c r="K189" s="24">
        <v>0.29444444444444445</v>
      </c>
      <c r="L189" s="24">
        <f t="shared" si="12"/>
        <v>6.2500000000000333E-3</v>
      </c>
      <c r="M189" s="24">
        <v>0.30972222222222223</v>
      </c>
      <c r="N189" s="8">
        <f>+M189-K189</f>
        <v>1.5277777777777779E-2</v>
      </c>
      <c r="O189" s="24">
        <f t="shared" si="13"/>
        <v>2.1527777777777812E-2</v>
      </c>
      <c r="P189" s="22">
        <v>2</v>
      </c>
      <c r="Q189" s="25" t="s">
        <v>51</v>
      </c>
      <c r="R189" s="22" t="str">
        <f>IF(COUNTIF(fest!$A$1:$A$18,B189)&gt;0,"FESTIVO", IF(OR(WEEKDAY(B189,2)=6,WEEKDAY(B189,2)=7),"NO HÁBIL","HÁBIL"))</f>
        <v>HÁBIL</v>
      </c>
    </row>
    <row r="190" spans="1:18" ht="15.75" customHeight="1" x14ac:dyDescent="0.2">
      <c r="A190" s="22" t="s">
        <v>43</v>
      </c>
      <c r="B190" s="23">
        <v>46157</v>
      </c>
      <c r="C190" s="6" t="s">
        <v>16</v>
      </c>
      <c r="D190" s="6" t="s">
        <v>12</v>
      </c>
      <c r="E190" s="6" t="s">
        <v>13</v>
      </c>
      <c r="F190" s="6" t="s">
        <v>14</v>
      </c>
      <c r="G190" s="24">
        <v>0.3125</v>
      </c>
      <c r="H190" s="24">
        <f t="shared" si="14"/>
        <v>0.71527777777777779</v>
      </c>
      <c r="I190" s="8">
        <f t="shared" si="15"/>
        <v>0.40277777777777779</v>
      </c>
      <c r="J190" s="24">
        <v>0.30972222222222223</v>
      </c>
      <c r="K190" s="24">
        <v>0.31458333333333333</v>
      </c>
      <c r="L190" s="24">
        <f t="shared" si="12"/>
        <v>4.8611111111110938E-3</v>
      </c>
      <c r="M190" s="24">
        <f>+K190+N190</f>
        <v>0.3298611111111111</v>
      </c>
      <c r="N190" s="8">
        <f>AVERAGE(N188:N189)</f>
        <v>1.5277777777777779E-2</v>
      </c>
      <c r="O190" s="24">
        <f t="shared" si="13"/>
        <v>2.0138888888888873E-2</v>
      </c>
      <c r="P190" s="22">
        <v>3</v>
      </c>
      <c r="Q190" s="25" t="s">
        <v>51</v>
      </c>
      <c r="R190" s="22" t="str">
        <f>IF(COUNTIF(fest!$A$1:$A$18,B190)&gt;0,"FESTIVO", IF(OR(WEEKDAY(B190,2)=6,WEEKDAY(B190,2)=7),"NO HÁBIL","HÁBIL"))</f>
        <v>HÁBIL</v>
      </c>
    </row>
    <row r="191" spans="1:18" ht="15.75" customHeight="1" x14ac:dyDescent="0.2">
      <c r="A191" s="22" t="s">
        <v>44</v>
      </c>
      <c r="B191" s="23">
        <v>46157</v>
      </c>
      <c r="C191" s="6" t="s">
        <v>11</v>
      </c>
      <c r="D191" s="6" t="s">
        <v>17</v>
      </c>
      <c r="E191" s="6" t="s">
        <v>14</v>
      </c>
      <c r="F191" s="6" t="s">
        <v>13</v>
      </c>
      <c r="G191" s="24">
        <v>0.71527777777777779</v>
      </c>
      <c r="H191" s="24">
        <f t="shared" si="14"/>
        <v>0.73958333333333337</v>
      </c>
      <c r="I191" s="8">
        <f t="shared" si="15"/>
        <v>2.430555555555558E-2</v>
      </c>
      <c r="J191" s="24">
        <v>0.66736111111111107</v>
      </c>
      <c r="K191" s="24">
        <v>0.67638888888888893</v>
      </c>
      <c r="L191" s="24">
        <f t="shared" si="12"/>
        <v>9.0277777777778567E-3</v>
      </c>
      <c r="M191" s="24">
        <v>0.69722222222222219</v>
      </c>
      <c r="N191" s="8">
        <f>+M191-K191</f>
        <v>2.0833333333333259E-2</v>
      </c>
      <c r="O191" s="24">
        <f t="shared" si="13"/>
        <v>2.9861111111111116E-2</v>
      </c>
      <c r="P191" s="22">
        <v>1</v>
      </c>
      <c r="Q191" s="25" t="s">
        <v>47</v>
      </c>
      <c r="R191" s="22" t="str">
        <f>IF(COUNTIF(fest!$A$1:$A$18,B191)&gt;0,"FESTIVO", IF(OR(WEEKDAY(B191,2)=6,WEEKDAY(B191,2)=7),"NO HÁBIL","HÁBIL"))</f>
        <v>HÁBIL</v>
      </c>
    </row>
    <row r="192" spans="1:18" ht="15.75" customHeight="1" x14ac:dyDescent="0.2">
      <c r="A192" s="22" t="s">
        <v>44</v>
      </c>
      <c r="B192" s="23">
        <v>46157</v>
      </c>
      <c r="C192" s="6" t="s">
        <v>15</v>
      </c>
      <c r="D192" s="6" t="s">
        <v>17</v>
      </c>
      <c r="E192" s="6" t="s">
        <v>14</v>
      </c>
      <c r="F192" s="6" t="s">
        <v>13</v>
      </c>
      <c r="G192" s="24">
        <v>0.73958333333333337</v>
      </c>
      <c r="H192" s="24">
        <f t="shared" si="14"/>
        <v>0.76388888888888884</v>
      </c>
      <c r="I192" s="8">
        <f t="shared" si="15"/>
        <v>2.4305555555555469E-2</v>
      </c>
      <c r="J192" s="24">
        <v>0.69722222222222219</v>
      </c>
      <c r="K192" s="24">
        <v>0.70486111111111116</v>
      </c>
      <c r="L192" s="24">
        <f t="shared" si="12"/>
        <v>7.6388888888889728E-3</v>
      </c>
      <c r="M192" s="24">
        <v>0.71944444444444444</v>
      </c>
      <c r="N192" s="8">
        <f>+M192-K192</f>
        <v>1.4583333333333282E-2</v>
      </c>
      <c r="O192" s="24">
        <f t="shared" si="13"/>
        <v>2.2222222222222254E-2</v>
      </c>
      <c r="P192" s="22">
        <v>0</v>
      </c>
      <c r="Q192" s="25" t="s">
        <v>45</v>
      </c>
      <c r="R192" s="22" t="str">
        <f>IF(COUNTIF(fest!$A$1:$A$18,B192)&gt;0,"FESTIVO", IF(OR(WEEKDAY(B192,2)=6,WEEKDAY(B192,2)=7),"NO HÁBIL","HÁBIL"))</f>
        <v>HÁBIL</v>
      </c>
    </row>
    <row r="193" spans="1:18" ht="15.75" customHeight="1" x14ac:dyDescent="0.2">
      <c r="A193" s="22" t="s">
        <v>44</v>
      </c>
      <c r="B193" s="23">
        <v>46157</v>
      </c>
      <c r="C193" s="6" t="s">
        <v>16</v>
      </c>
      <c r="D193" s="6" t="s">
        <v>17</v>
      </c>
      <c r="E193" s="6" t="s">
        <v>14</v>
      </c>
      <c r="F193" s="6" t="s">
        <v>13</v>
      </c>
      <c r="G193" s="24">
        <v>0.76388888888888884</v>
      </c>
      <c r="H193" s="24">
        <f t="shared" si="14"/>
        <v>0.27083333333333331</v>
      </c>
      <c r="I193" s="8">
        <f t="shared" si="15"/>
        <v>-0.49305555555555552</v>
      </c>
      <c r="J193" s="24">
        <v>0.71944444444444444</v>
      </c>
      <c r="K193" s="24">
        <v>0.7270833333333333</v>
      </c>
      <c r="L193" s="24">
        <f t="shared" si="12"/>
        <v>7.6388888888888618E-3</v>
      </c>
      <c r="M193" s="24">
        <f>+K193+N193</f>
        <v>0.74479166666666652</v>
      </c>
      <c r="N193" s="8">
        <f>AVERAGE(N191:N192)</f>
        <v>1.770833333333327E-2</v>
      </c>
      <c r="O193" s="24">
        <f t="shared" si="13"/>
        <v>2.5347222222222132E-2</v>
      </c>
      <c r="P193" s="22">
        <v>5</v>
      </c>
      <c r="Q193" s="25" t="s">
        <v>48</v>
      </c>
      <c r="R193" s="22" t="str">
        <f>IF(COUNTIF(fest!$A$1:$A$18,B193)&gt;0,"FESTIVO", IF(OR(WEEKDAY(B193,2)=6,WEEKDAY(B193,2)=7),"NO HÁBIL","HÁBIL"))</f>
        <v>HÁBIL</v>
      </c>
    </row>
    <row r="194" spans="1:18" ht="15.75" customHeight="1" x14ac:dyDescent="0.2">
      <c r="A194" s="22" t="s">
        <v>43</v>
      </c>
      <c r="B194" s="23">
        <v>46161</v>
      </c>
      <c r="C194" s="6" t="s">
        <v>11</v>
      </c>
      <c r="D194" s="6" t="s">
        <v>12</v>
      </c>
      <c r="E194" s="6" t="s">
        <v>13</v>
      </c>
      <c r="F194" s="6" t="s">
        <v>14</v>
      </c>
      <c r="G194" s="24">
        <v>0.27083333333333331</v>
      </c>
      <c r="H194" s="24">
        <f t="shared" si="14"/>
        <v>0.29166666666666669</v>
      </c>
      <c r="I194" s="8">
        <f t="shared" si="15"/>
        <v>2.083333333333337E-2</v>
      </c>
      <c r="J194" s="24">
        <v>0.2638888888888889</v>
      </c>
      <c r="K194" s="24">
        <v>0.27291666666666664</v>
      </c>
      <c r="L194" s="24">
        <f t="shared" ref="L194:L257" si="16">+K194-J194</f>
        <v>9.0277777777777457E-3</v>
      </c>
      <c r="M194" s="24">
        <v>0.28819444444444442</v>
      </c>
      <c r="N194" s="8">
        <f>+M194-K194</f>
        <v>1.5277777777777779E-2</v>
      </c>
      <c r="O194" s="24">
        <f t="shared" ref="O194:O257" si="17">+L194+N194</f>
        <v>2.4305555555555525E-2</v>
      </c>
      <c r="P194" s="22">
        <v>2</v>
      </c>
      <c r="Q194" s="25" t="s">
        <v>51</v>
      </c>
      <c r="R194" s="22" t="str">
        <f>IF(COUNTIF(fest!$A$1:$A$18,B194)&gt;0,"FESTIVO", IF(OR(WEEKDAY(B194,2)=6,WEEKDAY(B194,2)=7),"NO HÁBIL","HÁBIL"))</f>
        <v>HÁBIL</v>
      </c>
    </row>
    <row r="195" spans="1:18" ht="15.75" customHeight="1" x14ac:dyDescent="0.2">
      <c r="A195" s="22" t="s">
        <v>43</v>
      </c>
      <c r="B195" s="23">
        <v>46161</v>
      </c>
      <c r="C195" s="6" t="s">
        <v>15</v>
      </c>
      <c r="D195" s="6" t="s">
        <v>12</v>
      </c>
      <c r="E195" s="6" t="s">
        <v>13</v>
      </c>
      <c r="F195" s="6" t="s">
        <v>14</v>
      </c>
      <c r="G195" s="24">
        <v>0.29166666666666669</v>
      </c>
      <c r="H195" s="24">
        <f t="shared" ref="H195:H258" si="18">+G195+I195</f>
        <v>0.3125</v>
      </c>
      <c r="I195" s="8">
        <f t="shared" ref="I195:I258" si="19">+G196-G195</f>
        <v>2.0833333333333315E-2</v>
      </c>
      <c r="J195" s="24">
        <v>0.28819444444444442</v>
      </c>
      <c r="K195" s="24">
        <v>0.29375000000000001</v>
      </c>
      <c r="L195" s="24">
        <f t="shared" si="16"/>
        <v>5.5555555555555913E-3</v>
      </c>
      <c r="M195" s="24">
        <v>0.31041666666666667</v>
      </c>
      <c r="N195" s="8">
        <f>+M195-K195</f>
        <v>1.6666666666666663E-2</v>
      </c>
      <c r="O195" s="24">
        <f t="shared" si="17"/>
        <v>2.2222222222222254E-2</v>
      </c>
      <c r="P195" s="22">
        <v>2</v>
      </c>
      <c r="Q195" s="25" t="s">
        <v>51</v>
      </c>
      <c r="R195" s="22" t="str">
        <f>IF(COUNTIF(fest!$A$1:$A$18,B195)&gt;0,"FESTIVO", IF(OR(WEEKDAY(B195,2)=6,WEEKDAY(B195,2)=7),"NO HÁBIL","HÁBIL"))</f>
        <v>HÁBIL</v>
      </c>
    </row>
    <row r="196" spans="1:18" ht="15.75" customHeight="1" x14ac:dyDescent="0.2">
      <c r="A196" s="22" t="s">
        <v>43</v>
      </c>
      <c r="B196" s="23">
        <v>46161</v>
      </c>
      <c r="C196" s="6" t="s">
        <v>16</v>
      </c>
      <c r="D196" s="6" t="s">
        <v>12</v>
      </c>
      <c r="E196" s="6" t="s">
        <v>13</v>
      </c>
      <c r="F196" s="6" t="s">
        <v>14</v>
      </c>
      <c r="G196" s="24">
        <v>0.3125</v>
      </c>
      <c r="H196" s="24">
        <f t="shared" si="18"/>
        <v>0.71527777777777779</v>
      </c>
      <c r="I196" s="8">
        <f t="shared" si="19"/>
        <v>0.40277777777777779</v>
      </c>
      <c r="J196" s="24">
        <v>0.31041666666666667</v>
      </c>
      <c r="K196" s="24">
        <v>0.31458333333333333</v>
      </c>
      <c r="L196" s="24">
        <f t="shared" si="16"/>
        <v>4.1666666666666519E-3</v>
      </c>
      <c r="M196" s="24">
        <f>+K196+N196</f>
        <v>0.33055555555555555</v>
      </c>
      <c r="N196" s="8">
        <f>AVERAGE(N194:N195)</f>
        <v>1.5972222222222221E-2</v>
      </c>
      <c r="O196" s="24">
        <f t="shared" si="17"/>
        <v>2.0138888888888873E-2</v>
      </c>
      <c r="P196" s="22">
        <v>4</v>
      </c>
      <c r="Q196" s="25" t="s">
        <v>51</v>
      </c>
      <c r="R196" s="22" t="str">
        <f>IF(COUNTIF(fest!$A$1:$A$18,B196)&gt;0,"FESTIVO", IF(OR(WEEKDAY(B196,2)=6,WEEKDAY(B196,2)=7),"NO HÁBIL","HÁBIL"))</f>
        <v>HÁBIL</v>
      </c>
    </row>
    <row r="197" spans="1:18" ht="15.75" customHeight="1" x14ac:dyDescent="0.2">
      <c r="A197" s="22" t="s">
        <v>44</v>
      </c>
      <c r="B197" s="23">
        <v>46161</v>
      </c>
      <c r="C197" s="6" t="s">
        <v>11</v>
      </c>
      <c r="D197" s="6" t="s">
        <v>17</v>
      </c>
      <c r="E197" s="6" t="s">
        <v>14</v>
      </c>
      <c r="F197" s="6" t="s">
        <v>13</v>
      </c>
      <c r="G197" s="24">
        <v>0.71527777777777779</v>
      </c>
      <c r="H197" s="24">
        <f t="shared" si="18"/>
        <v>0.73958333333333337</v>
      </c>
      <c r="I197" s="8">
        <f t="shared" si="19"/>
        <v>2.430555555555558E-2</v>
      </c>
      <c r="J197" s="24">
        <v>0.70833333333333337</v>
      </c>
      <c r="K197" s="24">
        <v>0.71805555555555556</v>
      </c>
      <c r="L197" s="24">
        <f t="shared" si="16"/>
        <v>9.7222222222221877E-3</v>
      </c>
      <c r="M197" s="24">
        <v>0.73750000000000004</v>
      </c>
      <c r="N197" s="8">
        <f>+M197-K197</f>
        <v>1.9444444444444486E-2</v>
      </c>
      <c r="O197" s="24">
        <f t="shared" si="17"/>
        <v>2.9166666666666674E-2</v>
      </c>
      <c r="P197" s="22">
        <v>6</v>
      </c>
      <c r="Q197" s="25" t="s">
        <v>48</v>
      </c>
      <c r="R197" s="22" t="str">
        <f>IF(COUNTIF(fest!$A$1:$A$18,B197)&gt;0,"FESTIVO", IF(OR(WEEKDAY(B197,2)=6,WEEKDAY(B197,2)=7),"NO HÁBIL","HÁBIL"))</f>
        <v>HÁBIL</v>
      </c>
    </row>
    <row r="198" spans="1:18" ht="15.75" customHeight="1" x14ac:dyDescent="0.2">
      <c r="A198" s="22" t="s">
        <v>44</v>
      </c>
      <c r="B198" s="23">
        <v>46161</v>
      </c>
      <c r="C198" s="6" t="s">
        <v>15</v>
      </c>
      <c r="D198" s="6" t="s">
        <v>17</v>
      </c>
      <c r="E198" s="6" t="s">
        <v>14</v>
      </c>
      <c r="F198" s="6" t="s">
        <v>13</v>
      </c>
      <c r="G198" s="24">
        <v>0.73958333333333337</v>
      </c>
      <c r="H198" s="24">
        <f t="shared" si="18"/>
        <v>0.76388888888888884</v>
      </c>
      <c r="I198" s="8">
        <f t="shared" si="19"/>
        <v>2.4305555555555469E-2</v>
      </c>
      <c r="J198" s="24">
        <v>0.73750000000000004</v>
      </c>
      <c r="K198" s="24">
        <v>0.74236111111111114</v>
      </c>
      <c r="L198" s="24">
        <f t="shared" si="16"/>
        <v>4.8611111111110938E-3</v>
      </c>
      <c r="M198" s="24">
        <v>0.76597222222222228</v>
      </c>
      <c r="N198" s="8">
        <f>+M198-K198</f>
        <v>2.3611111111111138E-2</v>
      </c>
      <c r="O198" s="24">
        <f t="shared" si="17"/>
        <v>2.8472222222222232E-2</v>
      </c>
      <c r="P198" s="22">
        <v>2</v>
      </c>
      <c r="Q198" s="25" t="s">
        <v>48</v>
      </c>
      <c r="R198" s="22" t="str">
        <f>IF(COUNTIF(fest!$A$1:$A$18,B198)&gt;0,"FESTIVO", IF(OR(WEEKDAY(B198,2)=6,WEEKDAY(B198,2)=7),"NO HÁBIL","HÁBIL"))</f>
        <v>HÁBIL</v>
      </c>
    </row>
    <row r="199" spans="1:18" ht="15.75" customHeight="1" x14ac:dyDescent="0.2">
      <c r="A199" s="22" t="s">
        <v>44</v>
      </c>
      <c r="B199" s="23">
        <v>46161</v>
      </c>
      <c r="C199" s="6" t="s">
        <v>16</v>
      </c>
      <c r="D199" s="6" t="s">
        <v>17</v>
      </c>
      <c r="E199" s="6" t="s">
        <v>14</v>
      </c>
      <c r="F199" s="6" t="s">
        <v>13</v>
      </c>
      <c r="G199" s="24">
        <v>0.76388888888888884</v>
      </c>
      <c r="H199" s="24">
        <f t="shared" si="18"/>
        <v>0.27083333333333331</v>
      </c>
      <c r="I199" s="8">
        <f t="shared" si="19"/>
        <v>-0.49305555555555552</v>
      </c>
      <c r="J199" s="24">
        <v>0.76597222222222228</v>
      </c>
      <c r="K199" s="24">
        <v>0.76944444444444449</v>
      </c>
      <c r="L199" s="24">
        <f t="shared" si="16"/>
        <v>3.4722222222222099E-3</v>
      </c>
      <c r="M199" s="24">
        <f>+K199+N199</f>
        <v>0.7909722222222223</v>
      </c>
      <c r="N199" s="8">
        <f>AVERAGE(N197:N198)</f>
        <v>2.1527777777777812E-2</v>
      </c>
      <c r="O199" s="24">
        <f t="shared" si="17"/>
        <v>2.5000000000000022E-2</v>
      </c>
      <c r="P199" s="22">
        <v>3</v>
      </c>
      <c r="Q199" s="25" t="s">
        <v>48</v>
      </c>
      <c r="R199" s="22" t="str">
        <f>IF(COUNTIF(fest!$A$1:$A$18,B199)&gt;0,"FESTIVO", IF(OR(WEEKDAY(B199,2)=6,WEEKDAY(B199,2)=7),"NO HÁBIL","HÁBIL"))</f>
        <v>HÁBIL</v>
      </c>
    </row>
    <row r="200" spans="1:18" ht="15.75" customHeight="1" x14ac:dyDescent="0.2">
      <c r="A200" s="22" t="s">
        <v>43</v>
      </c>
      <c r="B200" s="23">
        <v>46162</v>
      </c>
      <c r="C200" s="6" t="s">
        <v>11</v>
      </c>
      <c r="D200" s="6" t="s">
        <v>12</v>
      </c>
      <c r="E200" s="6" t="s">
        <v>13</v>
      </c>
      <c r="F200" s="6" t="s">
        <v>14</v>
      </c>
      <c r="G200" s="24">
        <v>0.27083333333333331</v>
      </c>
      <c r="H200" s="24">
        <f t="shared" si="18"/>
        <v>0.29166666666666669</v>
      </c>
      <c r="I200" s="8">
        <f t="shared" si="19"/>
        <v>2.083333333333337E-2</v>
      </c>
      <c r="J200" s="24">
        <v>0.26458333333333334</v>
      </c>
      <c r="K200" s="24">
        <v>0.27291666666666664</v>
      </c>
      <c r="L200" s="24">
        <f t="shared" si="16"/>
        <v>8.3333333333333037E-3</v>
      </c>
      <c r="M200" s="24">
        <v>0.28819444444444442</v>
      </c>
      <c r="N200" s="8">
        <f>+M200-K200</f>
        <v>1.5277777777777779E-2</v>
      </c>
      <c r="O200" s="24">
        <f t="shared" si="17"/>
        <v>2.3611111111111083E-2</v>
      </c>
      <c r="P200" s="22">
        <v>1</v>
      </c>
      <c r="Q200" s="25" t="s">
        <v>51</v>
      </c>
      <c r="R200" s="22" t="str">
        <f>IF(COUNTIF(fest!$A$1:$A$18,B200)&gt;0,"FESTIVO", IF(OR(WEEKDAY(B200,2)=6,WEEKDAY(B200,2)=7),"NO HÁBIL","HÁBIL"))</f>
        <v>HÁBIL</v>
      </c>
    </row>
    <row r="201" spans="1:18" ht="15.75" customHeight="1" x14ac:dyDescent="0.2">
      <c r="A201" s="22" t="s">
        <v>43</v>
      </c>
      <c r="B201" s="23">
        <v>46162</v>
      </c>
      <c r="C201" s="6" t="s">
        <v>15</v>
      </c>
      <c r="D201" s="6" t="s">
        <v>12</v>
      </c>
      <c r="E201" s="6" t="s">
        <v>13</v>
      </c>
      <c r="F201" s="6" t="s">
        <v>14</v>
      </c>
      <c r="G201" s="24">
        <v>0.29166666666666669</v>
      </c>
      <c r="H201" s="24">
        <f t="shared" si="18"/>
        <v>0.3125</v>
      </c>
      <c r="I201" s="8">
        <f t="shared" si="19"/>
        <v>2.0833333333333315E-2</v>
      </c>
      <c r="J201" s="24">
        <v>0.28819444444444442</v>
      </c>
      <c r="K201" s="24">
        <v>0.29375000000000001</v>
      </c>
      <c r="L201" s="24">
        <f t="shared" si="16"/>
        <v>5.5555555555555913E-3</v>
      </c>
      <c r="M201" s="24">
        <v>0.31041666666666667</v>
      </c>
      <c r="N201" s="8">
        <f>+M201-K201</f>
        <v>1.6666666666666663E-2</v>
      </c>
      <c r="O201" s="24">
        <f t="shared" si="17"/>
        <v>2.2222222222222254E-2</v>
      </c>
      <c r="P201" s="22">
        <v>5</v>
      </c>
      <c r="Q201" s="25" t="s">
        <v>51</v>
      </c>
      <c r="R201" s="22" t="str">
        <f>IF(COUNTIF(fest!$A$1:$A$18,B201)&gt;0,"FESTIVO", IF(OR(WEEKDAY(B201,2)=6,WEEKDAY(B201,2)=7),"NO HÁBIL","HÁBIL"))</f>
        <v>HÁBIL</v>
      </c>
    </row>
    <row r="202" spans="1:18" ht="15.75" customHeight="1" x14ac:dyDescent="0.2">
      <c r="A202" s="22" t="s">
        <v>43</v>
      </c>
      <c r="B202" s="23">
        <v>46162</v>
      </c>
      <c r="C202" s="6" t="s">
        <v>16</v>
      </c>
      <c r="D202" s="6" t="s">
        <v>12</v>
      </c>
      <c r="E202" s="6" t="s">
        <v>13</v>
      </c>
      <c r="F202" s="6" t="s">
        <v>14</v>
      </c>
      <c r="G202" s="24">
        <v>0.3125</v>
      </c>
      <c r="H202" s="24">
        <f t="shared" si="18"/>
        <v>0.71527777777777779</v>
      </c>
      <c r="I202" s="8">
        <f t="shared" si="19"/>
        <v>0.40277777777777779</v>
      </c>
      <c r="J202" s="24">
        <v>0.31041666666666667</v>
      </c>
      <c r="K202" s="24">
        <v>0.31527777777777777</v>
      </c>
      <c r="L202" s="24">
        <f t="shared" si="16"/>
        <v>4.8611111111110938E-3</v>
      </c>
      <c r="M202" s="24">
        <f>+K202+N202</f>
        <v>0.33124999999999999</v>
      </c>
      <c r="N202" s="8">
        <f>AVERAGE(N200:N201)</f>
        <v>1.5972222222222221E-2</v>
      </c>
      <c r="O202" s="24">
        <f t="shared" si="17"/>
        <v>2.0833333333333315E-2</v>
      </c>
      <c r="P202" s="22">
        <v>1</v>
      </c>
      <c r="Q202" s="25" t="s">
        <v>51</v>
      </c>
      <c r="R202" s="22" t="str">
        <f>IF(COUNTIF(fest!$A$1:$A$18,B202)&gt;0,"FESTIVO", IF(OR(WEEKDAY(B202,2)=6,WEEKDAY(B202,2)=7),"NO HÁBIL","HÁBIL"))</f>
        <v>HÁBIL</v>
      </c>
    </row>
    <row r="203" spans="1:18" ht="15.75" customHeight="1" x14ac:dyDescent="0.2">
      <c r="A203" s="22" t="s">
        <v>44</v>
      </c>
      <c r="B203" s="23">
        <v>46162</v>
      </c>
      <c r="C203" s="6" t="s">
        <v>11</v>
      </c>
      <c r="D203" s="6" t="s">
        <v>17</v>
      </c>
      <c r="E203" s="6" t="s">
        <v>14</v>
      </c>
      <c r="F203" s="6" t="s">
        <v>13</v>
      </c>
      <c r="G203" s="24">
        <v>0.71527777777777779</v>
      </c>
      <c r="H203" s="24">
        <f t="shared" si="18"/>
        <v>0.73958333333333337</v>
      </c>
      <c r="I203" s="8">
        <f t="shared" si="19"/>
        <v>2.430555555555558E-2</v>
      </c>
      <c r="J203" s="24">
        <v>0.7104166666666667</v>
      </c>
      <c r="K203" s="24">
        <v>0.71805555555555556</v>
      </c>
      <c r="L203" s="24">
        <f t="shared" si="16"/>
        <v>7.6388888888888618E-3</v>
      </c>
      <c r="M203" s="24">
        <v>0.73958333333333337</v>
      </c>
      <c r="N203" s="8">
        <f>+M203-K203</f>
        <v>2.1527777777777812E-2</v>
      </c>
      <c r="O203" s="24">
        <f t="shared" si="17"/>
        <v>2.9166666666666674E-2</v>
      </c>
      <c r="P203" s="22">
        <v>4</v>
      </c>
      <c r="Q203" s="25" t="s">
        <v>48</v>
      </c>
      <c r="R203" s="22" t="str">
        <f>IF(COUNTIF(fest!$A$1:$A$18,B203)&gt;0,"FESTIVO", IF(OR(WEEKDAY(B203,2)=6,WEEKDAY(B203,2)=7),"NO HÁBIL","HÁBIL"))</f>
        <v>HÁBIL</v>
      </c>
    </row>
    <row r="204" spans="1:18" ht="15.75" customHeight="1" x14ac:dyDescent="0.2">
      <c r="A204" s="22" t="s">
        <v>44</v>
      </c>
      <c r="B204" s="23">
        <v>46162</v>
      </c>
      <c r="C204" s="6" t="s">
        <v>15</v>
      </c>
      <c r="D204" s="6" t="s">
        <v>17</v>
      </c>
      <c r="E204" s="6" t="s">
        <v>14</v>
      </c>
      <c r="F204" s="6" t="s">
        <v>13</v>
      </c>
      <c r="G204" s="24">
        <v>0.73958333333333337</v>
      </c>
      <c r="H204" s="24">
        <f t="shared" si="18"/>
        <v>0.76388888888888884</v>
      </c>
      <c r="I204" s="8">
        <f t="shared" si="19"/>
        <v>2.4305555555555469E-2</v>
      </c>
      <c r="J204" s="24">
        <v>0.73958333333333337</v>
      </c>
      <c r="K204" s="24">
        <v>0.74652777777777779</v>
      </c>
      <c r="L204" s="24">
        <f t="shared" si="16"/>
        <v>6.9444444444444198E-3</v>
      </c>
      <c r="M204" s="24">
        <v>0.76180555555555551</v>
      </c>
      <c r="N204" s="8">
        <f>+M204-K204</f>
        <v>1.5277777777777724E-2</v>
      </c>
      <c r="O204" s="24">
        <f t="shared" si="17"/>
        <v>2.2222222222222143E-2</v>
      </c>
      <c r="P204" s="22">
        <v>0</v>
      </c>
      <c r="Q204" s="25" t="s">
        <v>45</v>
      </c>
      <c r="R204" s="22" t="str">
        <f>IF(COUNTIF(fest!$A$1:$A$18,B204)&gt;0,"FESTIVO", IF(OR(WEEKDAY(B204,2)=6,WEEKDAY(B204,2)=7),"NO HÁBIL","HÁBIL"))</f>
        <v>HÁBIL</v>
      </c>
    </row>
    <row r="205" spans="1:18" ht="15.75" customHeight="1" x14ac:dyDescent="0.2">
      <c r="A205" s="22" t="s">
        <v>44</v>
      </c>
      <c r="B205" s="23">
        <v>46162</v>
      </c>
      <c r="C205" s="6" t="s">
        <v>16</v>
      </c>
      <c r="D205" s="6" t="s">
        <v>17</v>
      </c>
      <c r="E205" s="6" t="s">
        <v>14</v>
      </c>
      <c r="F205" s="6" t="s">
        <v>13</v>
      </c>
      <c r="G205" s="24">
        <v>0.76388888888888884</v>
      </c>
      <c r="H205" s="24">
        <f t="shared" si="18"/>
        <v>0.27083333333333331</v>
      </c>
      <c r="I205" s="8">
        <f t="shared" si="19"/>
        <v>-0.49305555555555552</v>
      </c>
      <c r="J205" s="24">
        <v>0.72013888888888888</v>
      </c>
      <c r="K205" s="24">
        <v>0.76597222222222228</v>
      </c>
      <c r="L205" s="24">
        <f t="shared" si="16"/>
        <v>4.5833333333333393E-2</v>
      </c>
      <c r="M205" s="24">
        <f>+K205+N205</f>
        <v>0.78437500000000004</v>
      </c>
      <c r="N205" s="8">
        <f>AVERAGE(N203:N204)</f>
        <v>1.8402777777777768E-2</v>
      </c>
      <c r="O205" s="24">
        <f t="shared" si="17"/>
        <v>6.423611111111116E-2</v>
      </c>
      <c r="P205" s="22">
        <v>6</v>
      </c>
      <c r="Q205" s="25" t="s">
        <v>48</v>
      </c>
      <c r="R205" s="22" t="str">
        <f>IF(COUNTIF(fest!$A$1:$A$18,B205)&gt;0,"FESTIVO", IF(OR(WEEKDAY(B205,2)=6,WEEKDAY(B205,2)=7),"NO HÁBIL","HÁBIL"))</f>
        <v>HÁBIL</v>
      </c>
    </row>
    <row r="206" spans="1:18" ht="15.75" customHeight="1" x14ac:dyDescent="0.2">
      <c r="A206" s="22" t="s">
        <v>43</v>
      </c>
      <c r="B206" s="23">
        <v>46163</v>
      </c>
      <c r="C206" s="6" t="s">
        <v>11</v>
      </c>
      <c r="D206" s="6" t="s">
        <v>12</v>
      </c>
      <c r="E206" s="6" t="s">
        <v>13</v>
      </c>
      <c r="F206" s="6" t="s">
        <v>14</v>
      </c>
      <c r="G206" s="24">
        <v>0.27083333333333331</v>
      </c>
      <c r="H206" s="24">
        <f t="shared" si="18"/>
        <v>0.29166666666666669</v>
      </c>
      <c r="I206" s="8">
        <f t="shared" si="19"/>
        <v>2.083333333333337E-2</v>
      </c>
      <c r="J206" s="24">
        <v>0.26458333333333334</v>
      </c>
      <c r="K206" s="24">
        <v>0.27569444444444446</v>
      </c>
      <c r="L206" s="24">
        <f t="shared" si="16"/>
        <v>1.1111111111111127E-2</v>
      </c>
      <c r="M206" s="24">
        <v>0.28819444444444442</v>
      </c>
      <c r="N206" s="8">
        <f>+M206-K206</f>
        <v>1.2499999999999956E-2</v>
      </c>
      <c r="O206" s="24">
        <f t="shared" si="17"/>
        <v>2.3611111111111083E-2</v>
      </c>
      <c r="P206" s="22">
        <v>0</v>
      </c>
      <c r="Q206" s="25" t="s">
        <v>51</v>
      </c>
      <c r="R206" s="22" t="str">
        <f>IF(COUNTIF(fest!$A$1:$A$18,B206)&gt;0,"FESTIVO", IF(OR(WEEKDAY(B206,2)=6,WEEKDAY(B206,2)=7),"NO HÁBIL","HÁBIL"))</f>
        <v>HÁBIL</v>
      </c>
    </row>
    <row r="207" spans="1:18" ht="15.75" customHeight="1" x14ac:dyDescent="0.2">
      <c r="A207" s="22" t="s">
        <v>43</v>
      </c>
      <c r="B207" s="23">
        <v>46163</v>
      </c>
      <c r="C207" s="6" t="s">
        <v>15</v>
      </c>
      <c r="D207" s="6" t="s">
        <v>12</v>
      </c>
      <c r="E207" s="6" t="s">
        <v>13</v>
      </c>
      <c r="F207" s="6" t="s">
        <v>14</v>
      </c>
      <c r="G207" s="24">
        <v>0.29166666666666669</v>
      </c>
      <c r="H207" s="24">
        <f t="shared" si="18"/>
        <v>0.3125</v>
      </c>
      <c r="I207" s="8">
        <f t="shared" si="19"/>
        <v>2.0833333333333315E-2</v>
      </c>
      <c r="J207" s="24">
        <v>0.28819444444444442</v>
      </c>
      <c r="K207" s="24">
        <v>0.29375000000000001</v>
      </c>
      <c r="L207" s="24">
        <f t="shared" si="16"/>
        <v>5.5555555555555913E-3</v>
      </c>
      <c r="M207" s="24">
        <v>0.31041666666666667</v>
      </c>
      <c r="N207" s="8">
        <f>+M207-K207</f>
        <v>1.6666666666666663E-2</v>
      </c>
      <c r="O207" s="24">
        <f t="shared" si="17"/>
        <v>2.2222222222222254E-2</v>
      </c>
      <c r="P207" s="22">
        <v>4</v>
      </c>
      <c r="Q207" s="25" t="s">
        <v>51</v>
      </c>
      <c r="R207" s="22" t="str">
        <f>IF(COUNTIF(fest!$A$1:$A$18,B207)&gt;0,"FESTIVO", IF(OR(WEEKDAY(B207,2)=6,WEEKDAY(B207,2)=7),"NO HÁBIL","HÁBIL"))</f>
        <v>HÁBIL</v>
      </c>
    </row>
    <row r="208" spans="1:18" ht="15.75" customHeight="1" x14ac:dyDescent="0.2">
      <c r="A208" s="22" t="s">
        <v>43</v>
      </c>
      <c r="B208" s="23">
        <v>46163</v>
      </c>
      <c r="C208" s="6" t="s">
        <v>16</v>
      </c>
      <c r="D208" s="6" t="s">
        <v>12</v>
      </c>
      <c r="E208" s="6" t="s">
        <v>13</v>
      </c>
      <c r="F208" s="6" t="s">
        <v>14</v>
      </c>
      <c r="G208" s="24">
        <v>0.3125</v>
      </c>
      <c r="H208" s="24">
        <f t="shared" si="18"/>
        <v>0.71527777777777779</v>
      </c>
      <c r="I208" s="8">
        <f t="shared" si="19"/>
        <v>0.40277777777777779</v>
      </c>
      <c r="J208" s="24">
        <v>0.31041666666666667</v>
      </c>
      <c r="K208" s="24">
        <v>0.31597222222222221</v>
      </c>
      <c r="L208" s="24">
        <f t="shared" si="16"/>
        <v>5.5555555555555358E-3</v>
      </c>
      <c r="M208" s="24">
        <f>+K208+N208</f>
        <v>0.33055555555555549</v>
      </c>
      <c r="N208" s="8">
        <f>AVERAGE(N206:N207)</f>
        <v>1.4583333333333309E-2</v>
      </c>
      <c r="O208" s="24">
        <f t="shared" si="17"/>
        <v>2.0138888888888845E-2</v>
      </c>
      <c r="P208" s="22">
        <v>1</v>
      </c>
      <c r="Q208" s="25" t="s">
        <v>51</v>
      </c>
      <c r="R208" s="22" t="str">
        <f>IF(COUNTIF(fest!$A$1:$A$18,B208)&gt;0,"FESTIVO", IF(OR(WEEKDAY(B208,2)=6,WEEKDAY(B208,2)=7),"NO HÁBIL","HÁBIL"))</f>
        <v>HÁBIL</v>
      </c>
    </row>
    <row r="209" spans="1:18" ht="15.75" customHeight="1" x14ac:dyDescent="0.2">
      <c r="A209" s="22" t="s">
        <v>44</v>
      </c>
      <c r="B209" s="23">
        <v>46163</v>
      </c>
      <c r="C209" s="6" t="s">
        <v>11</v>
      </c>
      <c r="D209" s="6" t="s">
        <v>17</v>
      </c>
      <c r="E209" s="6" t="s">
        <v>14</v>
      </c>
      <c r="F209" s="6" t="s">
        <v>13</v>
      </c>
      <c r="G209" s="24">
        <v>0.71527777777777779</v>
      </c>
      <c r="H209" s="24">
        <f t="shared" si="18"/>
        <v>0.73958333333333337</v>
      </c>
      <c r="I209" s="8">
        <f t="shared" si="19"/>
        <v>2.430555555555558E-2</v>
      </c>
      <c r="J209" s="24">
        <v>0.71944444444444444</v>
      </c>
      <c r="K209" s="24">
        <v>0.71944444444444444</v>
      </c>
      <c r="L209" s="24">
        <f t="shared" si="16"/>
        <v>0</v>
      </c>
      <c r="M209" s="24">
        <v>0.75208333333333333</v>
      </c>
      <c r="N209" s="8">
        <f>+M209-K209</f>
        <v>3.2638888888888884E-2</v>
      </c>
      <c r="O209" s="24">
        <f t="shared" si="17"/>
        <v>3.2638888888888884E-2</v>
      </c>
      <c r="P209" s="22">
        <v>2</v>
      </c>
      <c r="Q209" s="25" t="s">
        <v>48</v>
      </c>
      <c r="R209" s="22" t="str">
        <f>IF(COUNTIF(fest!$A$1:$A$18,B209)&gt;0,"FESTIVO", IF(OR(WEEKDAY(B209,2)=6,WEEKDAY(B209,2)=7),"NO HÁBIL","HÁBIL"))</f>
        <v>HÁBIL</v>
      </c>
    </row>
    <row r="210" spans="1:18" ht="15.75" customHeight="1" x14ac:dyDescent="0.2">
      <c r="A210" s="22" t="s">
        <v>44</v>
      </c>
      <c r="B210" s="23">
        <v>46163</v>
      </c>
      <c r="C210" s="6" t="s">
        <v>15</v>
      </c>
      <c r="D210" s="6" t="s">
        <v>17</v>
      </c>
      <c r="E210" s="6" t="s">
        <v>14</v>
      </c>
      <c r="F210" s="6" t="s">
        <v>13</v>
      </c>
      <c r="G210" s="24">
        <v>0.73958333333333337</v>
      </c>
      <c r="H210" s="24">
        <f t="shared" si="18"/>
        <v>0.76388888888888884</v>
      </c>
      <c r="I210" s="8">
        <f t="shared" si="19"/>
        <v>2.4305555555555469E-2</v>
      </c>
      <c r="J210" s="24">
        <v>0.75208333333333333</v>
      </c>
      <c r="K210" s="24">
        <v>0.75208333333333333</v>
      </c>
      <c r="L210" s="24">
        <f t="shared" si="16"/>
        <v>0</v>
      </c>
      <c r="M210" s="24">
        <v>0.76666666666666672</v>
      </c>
      <c r="N210" s="8">
        <f>+M210-K210</f>
        <v>1.4583333333333393E-2</v>
      </c>
      <c r="O210" s="24">
        <f t="shared" si="17"/>
        <v>1.4583333333333393E-2</v>
      </c>
      <c r="P210" s="22">
        <v>3</v>
      </c>
      <c r="Q210" s="25" t="s">
        <v>48</v>
      </c>
      <c r="R210" s="22" t="str">
        <f>IF(COUNTIF(fest!$A$1:$A$18,B210)&gt;0,"FESTIVO", IF(OR(WEEKDAY(B210,2)=6,WEEKDAY(B210,2)=7),"NO HÁBIL","HÁBIL"))</f>
        <v>HÁBIL</v>
      </c>
    </row>
    <row r="211" spans="1:18" ht="15.75" customHeight="1" x14ac:dyDescent="0.2">
      <c r="A211" s="22" t="s">
        <v>44</v>
      </c>
      <c r="B211" s="23">
        <v>46163</v>
      </c>
      <c r="C211" s="6" t="s">
        <v>16</v>
      </c>
      <c r="D211" s="6" t="s">
        <v>17</v>
      </c>
      <c r="E211" s="6" t="s">
        <v>14</v>
      </c>
      <c r="F211" s="6" t="s">
        <v>13</v>
      </c>
      <c r="G211" s="24">
        <v>0.76388888888888884</v>
      </c>
      <c r="H211" s="24">
        <f t="shared" si="18"/>
        <v>0.27083333333333331</v>
      </c>
      <c r="I211" s="8">
        <f t="shared" si="19"/>
        <v>-0.49305555555555552</v>
      </c>
      <c r="J211" s="24">
        <v>0.76666666666666672</v>
      </c>
      <c r="K211" s="24">
        <v>0.7680555555555556</v>
      </c>
      <c r="L211" s="24">
        <f t="shared" si="16"/>
        <v>1.388888888888884E-3</v>
      </c>
      <c r="M211" s="24">
        <f>+K211+N211</f>
        <v>0.79166666666666674</v>
      </c>
      <c r="N211" s="8">
        <f>AVERAGE(N209:N210)</f>
        <v>2.3611111111111138E-2</v>
      </c>
      <c r="O211" s="24">
        <f t="shared" si="17"/>
        <v>2.5000000000000022E-2</v>
      </c>
      <c r="P211" s="22">
        <v>5</v>
      </c>
      <c r="Q211" s="25" t="s">
        <v>48</v>
      </c>
      <c r="R211" s="22" t="str">
        <f>IF(COUNTIF(fest!$A$1:$A$18,B211)&gt;0,"FESTIVO", IF(OR(WEEKDAY(B211,2)=6,WEEKDAY(B211,2)=7),"NO HÁBIL","HÁBIL"))</f>
        <v>HÁBIL</v>
      </c>
    </row>
    <row r="212" spans="1:18" ht="15.75" customHeight="1" x14ac:dyDescent="0.2">
      <c r="A212" s="22" t="s">
        <v>43</v>
      </c>
      <c r="B212" s="23">
        <v>46164</v>
      </c>
      <c r="C212" s="6" t="s">
        <v>11</v>
      </c>
      <c r="D212" s="6" t="s">
        <v>12</v>
      </c>
      <c r="E212" s="6" t="s">
        <v>13</v>
      </c>
      <c r="F212" s="6" t="s">
        <v>14</v>
      </c>
      <c r="G212" s="24">
        <v>0.27083333333333331</v>
      </c>
      <c r="H212" s="24">
        <f t="shared" si="18"/>
        <v>0.29166666666666669</v>
      </c>
      <c r="I212" s="8">
        <f t="shared" si="19"/>
        <v>2.083333333333337E-2</v>
      </c>
      <c r="J212" s="24">
        <v>0.2638888888888889</v>
      </c>
      <c r="K212" s="24">
        <v>0.27777777777777779</v>
      </c>
      <c r="L212" s="24">
        <f t="shared" si="16"/>
        <v>1.3888888888888895E-2</v>
      </c>
      <c r="M212" s="24">
        <v>0.28888888888888886</v>
      </c>
      <c r="N212" s="8">
        <f>+M212-K212</f>
        <v>1.1111111111111072E-2</v>
      </c>
      <c r="O212" s="24">
        <f t="shared" si="17"/>
        <v>2.4999999999999967E-2</v>
      </c>
      <c r="P212" s="22">
        <v>0</v>
      </c>
      <c r="Q212" s="25" t="s">
        <v>51</v>
      </c>
      <c r="R212" s="22" t="str">
        <f>IF(COUNTIF(fest!$A$1:$A$18,B212)&gt;0,"FESTIVO", IF(OR(WEEKDAY(B212,2)=6,WEEKDAY(B212,2)=7),"NO HÁBIL","HÁBIL"))</f>
        <v>HÁBIL</v>
      </c>
    </row>
    <row r="213" spans="1:18" ht="15.75" customHeight="1" x14ac:dyDescent="0.2">
      <c r="A213" s="22" t="s">
        <v>43</v>
      </c>
      <c r="B213" s="23">
        <v>46164</v>
      </c>
      <c r="C213" s="6" t="s">
        <v>15</v>
      </c>
      <c r="D213" s="6" t="s">
        <v>12</v>
      </c>
      <c r="E213" s="6" t="s">
        <v>13</v>
      </c>
      <c r="F213" s="6" t="s">
        <v>14</v>
      </c>
      <c r="G213" s="24">
        <v>0.29166666666666669</v>
      </c>
      <c r="H213" s="24">
        <f t="shared" si="18"/>
        <v>0.3125</v>
      </c>
      <c r="I213" s="8">
        <f t="shared" si="19"/>
        <v>2.0833333333333315E-2</v>
      </c>
      <c r="J213" s="24">
        <v>0.28888888888888886</v>
      </c>
      <c r="K213" s="24">
        <v>0.29375000000000001</v>
      </c>
      <c r="L213" s="24">
        <f t="shared" si="16"/>
        <v>4.8611111111111494E-3</v>
      </c>
      <c r="M213" s="24">
        <v>0.32500000000000001</v>
      </c>
      <c r="N213" s="8">
        <f>+M213-K213</f>
        <v>3.125E-2</v>
      </c>
      <c r="O213" s="24">
        <f t="shared" si="17"/>
        <v>3.6111111111111149E-2</v>
      </c>
      <c r="P213" s="22">
        <v>2</v>
      </c>
      <c r="Q213" s="25" t="s">
        <v>51</v>
      </c>
      <c r="R213" s="22" t="str">
        <f>IF(COUNTIF(fest!$A$1:$A$18,B213)&gt;0,"FESTIVO", IF(OR(WEEKDAY(B213,2)=6,WEEKDAY(B213,2)=7),"NO HÁBIL","HÁBIL"))</f>
        <v>HÁBIL</v>
      </c>
    </row>
    <row r="214" spans="1:18" ht="15.75" customHeight="1" x14ac:dyDescent="0.2">
      <c r="A214" s="22" t="s">
        <v>43</v>
      </c>
      <c r="B214" s="23">
        <v>46164</v>
      </c>
      <c r="C214" s="6" t="s">
        <v>16</v>
      </c>
      <c r="D214" s="6" t="s">
        <v>12</v>
      </c>
      <c r="E214" s="6" t="s">
        <v>13</v>
      </c>
      <c r="F214" s="6" t="s">
        <v>14</v>
      </c>
      <c r="G214" s="24">
        <v>0.3125</v>
      </c>
      <c r="H214" s="24">
        <f t="shared" si="18"/>
        <v>0.71527777777777779</v>
      </c>
      <c r="I214" s="8">
        <f t="shared" si="19"/>
        <v>0.40277777777777779</v>
      </c>
      <c r="J214" s="24">
        <v>0.32500000000000001</v>
      </c>
      <c r="K214" s="24">
        <v>0.32500000000000001</v>
      </c>
      <c r="L214" s="24">
        <f t="shared" si="16"/>
        <v>0</v>
      </c>
      <c r="M214" s="24">
        <f>+K214+N214</f>
        <v>0.34618055555555555</v>
      </c>
      <c r="N214" s="8">
        <f>AVERAGE(N212:N213)</f>
        <v>2.1180555555555536E-2</v>
      </c>
      <c r="O214" s="24">
        <f t="shared" si="17"/>
        <v>2.1180555555555536E-2</v>
      </c>
      <c r="P214" s="22">
        <v>1</v>
      </c>
      <c r="Q214" s="25" t="s">
        <v>51</v>
      </c>
      <c r="R214" s="22" t="str">
        <f>IF(COUNTIF(fest!$A$1:$A$18,B214)&gt;0,"FESTIVO", IF(OR(WEEKDAY(B214,2)=6,WEEKDAY(B214,2)=7),"NO HÁBIL","HÁBIL"))</f>
        <v>HÁBIL</v>
      </c>
    </row>
    <row r="215" spans="1:18" ht="15.75" customHeight="1" x14ac:dyDescent="0.2">
      <c r="A215" s="22" t="s">
        <v>44</v>
      </c>
      <c r="B215" s="23">
        <v>46164</v>
      </c>
      <c r="C215" s="6" t="s">
        <v>11</v>
      </c>
      <c r="D215" s="6" t="s">
        <v>17</v>
      </c>
      <c r="E215" s="6" t="s">
        <v>14</v>
      </c>
      <c r="F215" s="6" t="s">
        <v>13</v>
      </c>
      <c r="G215" s="24">
        <v>0.71527777777777779</v>
      </c>
      <c r="H215" s="24">
        <f t="shared" si="18"/>
        <v>0.73958333333333337</v>
      </c>
      <c r="I215" s="8">
        <f t="shared" si="19"/>
        <v>2.430555555555558E-2</v>
      </c>
      <c r="J215" s="24">
        <v>0.66666666666666663</v>
      </c>
      <c r="K215" s="24">
        <v>0.67708333333333337</v>
      </c>
      <c r="L215" s="24">
        <f t="shared" si="16"/>
        <v>1.0416666666666741E-2</v>
      </c>
      <c r="M215" s="24">
        <v>0.69097222222222221</v>
      </c>
      <c r="N215" s="8">
        <f>+M215-K215</f>
        <v>1.388888888888884E-2</v>
      </c>
      <c r="O215" s="24">
        <f t="shared" si="17"/>
        <v>2.430555555555558E-2</v>
      </c>
      <c r="P215" s="22">
        <v>0</v>
      </c>
      <c r="Q215" s="25" t="s">
        <v>45</v>
      </c>
      <c r="R215" s="22" t="str">
        <f>IF(COUNTIF(fest!$A$1:$A$18,B215)&gt;0,"FESTIVO", IF(OR(WEEKDAY(B215,2)=6,WEEKDAY(B215,2)=7),"NO HÁBIL","HÁBIL"))</f>
        <v>HÁBIL</v>
      </c>
    </row>
    <row r="216" spans="1:18" ht="15.75" customHeight="1" x14ac:dyDescent="0.2">
      <c r="A216" s="22" t="s">
        <v>44</v>
      </c>
      <c r="B216" s="23">
        <v>46164</v>
      </c>
      <c r="C216" s="6" t="s">
        <v>15</v>
      </c>
      <c r="D216" s="6" t="s">
        <v>17</v>
      </c>
      <c r="E216" s="6" t="s">
        <v>14</v>
      </c>
      <c r="F216" s="6" t="s">
        <v>13</v>
      </c>
      <c r="G216" s="24">
        <v>0.73958333333333337</v>
      </c>
      <c r="H216" s="24">
        <f t="shared" si="18"/>
        <v>0.76388888888888884</v>
      </c>
      <c r="I216" s="8">
        <f t="shared" si="19"/>
        <v>2.4305555555555469E-2</v>
      </c>
      <c r="J216" s="24">
        <v>0.69097222222222221</v>
      </c>
      <c r="K216" s="24">
        <v>0.70486111111111116</v>
      </c>
      <c r="L216" s="24">
        <f t="shared" si="16"/>
        <v>1.3888888888888951E-2</v>
      </c>
      <c r="M216" s="24">
        <v>0.71944444444444444</v>
      </c>
      <c r="N216" s="8">
        <f>+M216-K216</f>
        <v>1.4583333333333282E-2</v>
      </c>
      <c r="O216" s="24">
        <f t="shared" si="17"/>
        <v>2.8472222222222232E-2</v>
      </c>
      <c r="P216" s="22">
        <v>0</v>
      </c>
      <c r="Q216" s="25" t="s">
        <v>45</v>
      </c>
      <c r="R216" s="22" t="str">
        <f>IF(COUNTIF(fest!$A$1:$A$18,B216)&gt;0,"FESTIVO", IF(OR(WEEKDAY(B216,2)=6,WEEKDAY(B216,2)=7),"NO HÁBIL","HÁBIL"))</f>
        <v>HÁBIL</v>
      </c>
    </row>
    <row r="217" spans="1:18" ht="15.75" customHeight="1" x14ac:dyDescent="0.2">
      <c r="A217" s="22" t="s">
        <v>44</v>
      </c>
      <c r="B217" s="23">
        <v>46164</v>
      </c>
      <c r="C217" s="6" t="s">
        <v>16</v>
      </c>
      <c r="D217" s="6" t="s">
        <v>17</v>
      </c>
      <c r="E217" s="6" t="s">
        <v>14</v>
      </c>
      <c r="F217" s="6" t="s">
        <v>13</v>
      </c>
      <c r="G217" s="24">
        <v>0.76388888888888884</v>
      </c>
      <c r="H217" s="24">
        <f t="shared" si="18"/>
        <v>0.27083333333333331</v>
      </c>
      <c r="I217" s="8">
        <f t="shared" si="19"/>
        <v>-0.49305555555555552</v>
      </c>
      <c r="J217" s="24">
        <v>0.71944444444444444</v>
      </c>
      <c r="K217" s="24">
        <v>0.72499999999999998</v>
      </c>
      <c r="L217" s="24">
        <f t="shared" si="16"/>
        <v>5.5555555555555358E-3</v>
      </c>
      <c r="M217" s="24">
        <f>+K217+N217</f>
        <v>0.73923611111111098</v>
      </c>
      <c r="N217" s="8">
        <f>AVERAGE(N215:N216)</f>
        <v>1.4236111111111061E-2</v>
      </c>
      <c r="O217" s="24">
        <f t="shared" si="17"/>
        <v>1.9791666666666596E-2</v>
      </c>
      <c r="P217" s="22">
        <v>7</v>
      </c>
      <c r="Q217" s="25" t="s">
        <v>48</v>
      </c>
      <c r="R217" s="22" t="str">
        <f>IF(COUNTIF(fest!$A$1:$A$18,B217)&gt;0,"FESTIVO", IF(OR(WEEKDAY(B217,2)=6,WEEKDAY(B217,2)=7),"NO HÁBIL","HÁBIL"))</f>
        <v>HÁBIL</v>
      </c>
    </row>
    <row r="218" spans="1:18" ht="15.75" customHeight="1" x14ac:dyDescent="0.2">
      <c r="A218" s="22" t="s">
        <v>43</v>
      </c>
      <c r="B218" s="23">
        <v>46167</v>
      </c>
      <c r="C218" s="6" t="s">
        <v>11</v>
      </c>
      <c r="D218" s="6" t="s">
        <v>12</v>
      </c>
      <c r="E218" s="6" t="s">
        <v>13</v>
      </c>
      <c r="F218" s="6" t="s">
        <v>14</v>
      </c>
      <c r="G218" s="24">
        <v>0.27083333333333331</v>
      </c>
      <c r="H218" s="24">
        <f t="shared" si="18"/>
        <v>0.29166666666666669</v>
      </c>
      <c r="I218" s="8">
        <f t="shared" si="19"/>
        <v>2.083333333333337E-2</v>
      </c>
      <c r="J218" s="24">
        <v>0.26458333333333334</v>
      </c>
      <c r="K218" s="24">
        <v>0.27361111111111114</v>
      </c>
      <c r="L218" s="24">
        <f t="shared" si="16"/>
        <v>9.0277777777778012E-3</v>
      </c>
      <c r="M218" s="24">
        <v>0.28819444444444442</v>
      </c>
      <c r="N218" s="8">
        <f>+M218-K218</f>
        <v>1.4583333333333282E-2</v>
      </c>
      <c r="O218" s="24">
        <f t="shared" si="17"/>
        <v>2.3611111111111083E-2</v>
      </c>
      <c r="P218" s="22">
        <v>1</v>
      </c>
      <c r="Q218" s="25" t="s">
        <v>51</v>
      </c>
      <c r="R218" s="22" t="str">
        <f>IF(COUNTIF(fest!$A$1:$A$18,B218)&gt;0,"FESTIVO", IF(OR(WEEKDAY(B218,2)=6,WEEKDAY(B218,2)=7),"NO HÁBIL","HÁBIL"))</f>
        <v>HÁBIL</v>
      </c>
    </row>
    <row r="219" spans="1:18" ht="15.75" customHeight="1" x14ac:dyDescent="0.2">
      <c r="A219" s="22" t="s">
        <v>43</v>
      </c>
      <c r="B219" s="23">
        <v>46167</v>
      </c>
      <c r="C219" s="6" t="s">
        <v>15</v>
      </c>
      <c r="D219" s="6" t="s">
        <v>12</v>
      </c>
      <c r="E219" s="6" t="s">
        <v>13</v>
      </c>
      <c r="F219" s="6" t="s">
        <v>14</v>
      </c>
      <c r="G219" s="24">
        <v>0.29166666666666669</v>
      </c>
      <c r="H219" s="24">
        <f t="shared" si="18"/>
        <v>0.3125</v>
      </c>
      <c r="I219" s="8">
        <f t="shared" si="19"/>
        <v>2.0833333333333315E-2</v>
      </c>
      <c r="J219" s="24">
        <v>0.28819444444444442</v>
      </c>
      <c r="K219" s="24">
        <v>0.29375000000000001</v>
      </c>
      <c r="L219" s="24">
        <f t="shared" si="16"/>
        <v>5.5555555555555913E-3</v>
      </c>
      <c r="M219" s="24">
        <v>0.30972222222222223</v>
      </c>
      <c r="N219" s="8">
        <f>+M219-K219</f>
        <v>1.5972222222222221E-2</v>
      </c>
      <c r="O219" s="24">
        <f t="shared" si="17"/>
        <v>2.1527777777777812E-2</v>
      </c>
      <c r="P219" s="22">
        <v>1</v>
      </c>
      <c r="Q219" s="25" t="s">
        <v>51</v>
      </c>
      <c r="R219" s="22" t="str">
        <f>IF(COUNTIF(fest!$A$1:$A$18,B219)&gt;0,"FESTIVO", IF(OR(WEEKDAY(B219,2)=6,WEEKDAY(B219,2)=7),"NO HÁBIL","HÁBIL"))</f>
        <v>HÁBIL</v>
      </c>
    </row>
    <row r="220" spans="1:18" ht="15.75" customHeight="1" x14ac:dyDescent="0.2">
      <c r="A220" s="22" t="s">
        <v>43</v>
      </c>
      <c r="B220" s="23">
        <v>46167</v>
      </c>
      <c r="C220" s="6" t="s">
        <v>16</v>
      </c>
      <c r="D220" s="6" t="s">
        <v>12</v>
      </c>
      <c r="E220" s="6" t="s">
        <v>13</v>
      </c>
      <c r="F220" s="6" t="s">
        <v>14</v>
      </c>
      <c r="G220" s="24">
        <v>0.3125</v>
      </c>
      <c r="H220" s="24">
        <f t="shared" si="18"/>
        <v>0.71527777777777779</v>
      </c>
      <c r="I220" s="8">
        <f t="shared" si="19"/>
        <v>0.40277777777777779</v>
      </c>
      <c r="J220" s="24">
        <v>0.30972222222222223</v>
      </c>
      <c r="K220" s="24">
        <v>0.31527777777777777</v>
      </c>
      <c r="L220" s="24">
        <f t="shared" si="16"/>
        <v>5.5555555555555358E-3</v>
      </c>
      <c r="M220" s="24">
        <f>+K220+N220</f>
        <v>0.33055555555555549</v>
      </c>
      <c r="N220" s="8">
        <f>AVERAGE(N218:N219)</f>
        <v>1.5277777777777751E-2</v>
      </c>
      <c r="O220" s="24">
        <f t="shared" si="17"/>
        <v>2.0833333333333287E-2</v>
      </c>
      <c r="P220" s="22">
        <v>2</v>
      </c>
      <c r="Q220" s="25" t="s">
        <v>51</v>
      </c>
      <c r="R220" s="22" t="str">
        <f>IF(COUNTIF(fest!$A$1:$A$18,B220)&gt;0,"FESTIVO", IF(OR(WEEKDAY(B220,2)=6,WEEKDAY(B220,2)=7),"NO HÁBIL","HÁBIL"))</f>
        <v>HÁBIL</v>
      </c>
    </row>
    <row r="221" spans="1:18" ht="15.75" customHeight="1" x14ac:dyDescent="0.2">
      <c r="A221" s="22" t="s">
        <v>44</v>
      </c>
      <c r="B221" s="23">
        <v>46167</v>
      </c>
      <c r="C221" s="6" t="s">
        <v>11</v>
      </c>
      <c r="D221" s="6" t="s">
        <v>17</v>
      </c>
      <c r="E221" s="6" t="s">
        <v>14</v>
      </c>
      <c r="F221" s="6" t="s">
        <v>13</v>
      </c>
      <c r="G221" s="24">
        <v>0.71527777777777779</v>
      </c>
      <c r="H221" s="24">
        <f t="shared" si="18"/>
        <v>0.73958333333333337</v>
      </c>
      <c r="I221" s="8">
        <f t="shared" si="19"/>
        <v>2.430555555555558E-2</v>
      </c>
      <c r="J221" s="24">
        <v>0.70833333333333337</v>
      </c>
      <c r="K221" s="24">
        <v>0.71736111111111112</v>
      </c>
      <c r="L221" s="24">
        <f t="shared" si="16"/>
        <v>9.0277777777777457E-3</v>
      </c>
      <c r="M221" s="24">
        <v>0.74236111111111114</v>
      </c>
      <c r="N221" s="8">
        <f>+M221-K221</f>
        <v>2.5000000000000022E-2</v>
      </c>
      <c r="O221" s="24">
        <f t="shared" si="17"/>
        <v>3.4027777777777768E-2</v>
      </c>
      <c r="P221" s="22">
        <v>3</v>
      </c>
      <c r="Q221" s="25" t="s">
        <v>48</v>
      </c>
      <c r="R221" s="22" t="str">
        <f>IF(COUNTIF(fest!$A$1:$A$18,B221)&gt;0,"FESTIVO", IF(OR(WEEKDAY(B221,2)=6,WEEKDAY(B221,2)=7),"NO HÁBIL","HÁBIL"))</f>
        <v>HÁBIL</v>
      </c>
    </row>
    <row r="222" spans="1:18" ht="15.75" customHeight="1" x14ac:dyDescent="0.2">
      <c r="A222" s="22" t="s">
        <v>44</v>
      </c>
      <c r="B222" s="23">
        <v>46167</v>
      </c>
      <c r="C222" s="6" t="s">
        <v>15</v>
      </c>
      <c r="D222" s="6" t="s">
        <v>17</v>
      </c>
      <c r="E222" s="6" t="s">
        <v>14</v>
      </c>
      <c r="F222" s="6" t="s">
        <v>13</v>
      </c>
      <c r="G222" s="24">
        <v>0.73958333333333337</v>
      </c>
      <c r="H222" s="24">
        <f t="shared" si="18"/>
        <v>0.76388888888888884</v>
      </c>
      <c r="I222" s="8">
        <f t="shared" si="19"/>
        <v>2.4305555555555469E-2</v>
      </c>
      <c r="J222" s="24">
        <v>0.74236111111111114</v>
      </c>
      <c r="K222" s="24">
        <v>0.74722222222222223</v>
      </c>
      <c r="L222" s="24">
        <f t="shared" si="16"/>
        <v>4.8611111111110938E-3</v>
      </c>
      <c r="M222" s="24">
        <v>0.76249999999999996</v>
      </c>
      <c r="N222" s="8">
        <f>+M222-K222</f>
        <v>1.5277777777777724E-2</v>
      </c>
      <c r="O222" s="24">
        <f t="shared" si="17"/>
        <v>2.0138888888888817E-2</v>
      </c>
      <c r="P222" s="22">
        <v>1</v>
      </c>
      <c r="Q222" s="25" t="s">
        <v>48</v>
      </c>
      <c r="R222" s="22" t="str">
        <f>IF(COUNTIF(fest!$A$1:$A$18,B222)&gt;0,"FESTIVO", IF(OR(WEEKDAY(B222,2)=6,WEEKDAY(B222,2)=7),"NO HÁBIL","HÁBIL"))</f>
        <v>HÁBIL</v>
      </c>
    </row>
    <row r="223" spans="1:18" ht="15.75" customHeight="1" x14ac:dyDescent="0.2">
      <c r="A223" s="22" t="s">
        <v>44</v>
      </c>
      <c r="B223" s="23">
        <v>46167</v>
      </c>
      <c r="C223" s="6" t="s">
        <v>16</v>
      </c>
      <c r="D223" s="6" t="s">
        <v>17</v>
      </c>
      <c r="E223" s="6" t="s">
        <v>14</v>
      </c>
      <c r="F223" s="6" t="s">
        <v>13</v>
      </c>
      <c r="G223" s="24">
        <v>0.76388888888888884</v>
      </c>
      <c r="H223" s="24">
        <f t="shared" si="18"/>
        <v>0.27083333333333331</v>
      </c>
      <c r="I223" s="8">
        <f t="shared" si="19"/>
        <v>-0.49305555555555552</v>
      </c>
      <c r="J223" s="24">
        <v>0.76249999999999996</v>
      </c>
      <c r="K223" s="24">
        <v>0.76666666666666672</v>
      </c>
      <c r="L223" s="24">
        <f t="shared" si="16"/>
        <v>4.1666666666667629E-3</v>
      </c>
      <c r="M223" s="24">
        <f>+K223+N223</f>
        <v>0.78680555555555554</v>
      </c>
      <c r="N223" s="8">
        <f>AVERAGE(N221:N222)</f>
        <v>2.0138888888888873E-2</v>
      </c>
      <c r="O223" s="24">
        <f t="shared" si="17"/>
        <v>2.4305555555555636E-2</v>
      </c>
      <c r="P223" s="22">
        <v>3</v>
      </c>
      <c r="Q223" s="25" t="s">
        <v>48</v>
      </c>
      <c r="R223" s="22" t="str">
        <f>IF(COUNTIF(fest!$A$1:$A$18,B223)&gt;0,"FESTIVO", IF(OR(WEEKDAY(B223,2)=6,WEEKDAY(B223,2)=7),"NO HÁBIL","HÁBIL"))</f>
        <v>HÁBIL</v>
      </c>
    </row>
    <row r="224" spans="1:18" ht="15.75" customHeight="1" x14ac:dyDescent="0.2">
      <c r="A224" s="22" t="s">
        <v>43</v>
      </c>
      <c r="B224" s="23">
        <v>46168</v>
      </c>
      <c r="C224" s="6" t="s">
        <v>11</v>
      </c>
      <c r="D224" s="6" t="s">
        <v>12</v>
      </c>
      <c r="E224" s="6" t="s">
        <v>13</v>
      </c>
      <c r="F224" s="6" t="s">
        <v>14</v>
      </c>
      <c r="G224" s="24">
        <v>0.27083333333333331</v>
      </c>
      <c r="H224" s="24">
        <f t="shared" si="18"/>
        <v>0.29166666666666669</v>
      </c>
      <c r="I224" s="8">
        <f t="shared" si="19"/>
        <v>2.083333333333337E-2</v>
      </c>
      <c r="J224" s="24">
        <v>0.2638888888888889</v>
      </c>
      <c r="K224" s="24">
        <v>0.27291666666666664</v>
      </c>
      <c r="L224" s="24">
        <f t="shared" si="16"/>
        <v>9.0277777777777457E-3</v>
      </c>
      <c r="M224" s="24">
        <v>0.28749999999999998</v>
      </c>
      <c r="N224" s="8">
        <f>+M224-K224</f>
        <v>1.4583333333333337E-2</v>
      </c>
      <c r="O224" s="24">
        <f t="shared" si="17"/>
        <v>2.3611111111111083E-2</v>
      </c>
      <c r="P224" s="22">
        <v>1</v>
      </c>
      <c r="Q224" s="25" t="s">
        <v>51</v>
      </c>
      <c r="R224" s="22" t="str">
        <f>IF(COUNTIF(fest!$A$1:$A$18,B224)&gt;0,"FESTIVO", IF(OR(WEEKDAY(B224,2)=6,WEEKDAY(B224,2)=7),"NO HÁBIL","HÁBIL"))</f>
        <v>HÁBIL</v>
      </c>
    </row>
    <row r="225" spans="1:18" ht="15.75" customHeight="1" x14ac:dyDescent="0.2">
      <c r="A225" s="22" t="s">
        <v>43</v>
      </c>
      <c r="B225" s="23">
        <v>46168</v>
      </c>
      <c r="C225" s="6" t="s">
        <v>15</v>
      </c>
      <c r="D225" s="6" t="s">
        <v>12</v>
      </c>
      <c r="E225" s="6" t="s">
        <v>13</v>
      </c>
      <c r="F225" s="6" t="s">
        <v>14</v>
      </c>
      <c r="G225" s="24">
        <v>0.29166666666666669</v>
      </c>
      <c r="H225" s="24">
        <f t="shared" si="18"/>
        <v>0.3125</v>
      </c>
      <c r="I225" s="8">
        <f t="shared" si="19"/>
        <v>2.0833333333333315E-2</v>
      </c>
      <c r="J225" s="24">
        <v>0.28749999999999998</v>
      </c>
      <c r="K225" s="24">
        <v>0.29375000000000001</v>
      </c>
      <c r="L225" s="24">
        <f t="shared" si="16"/>
        <v>6.2500000000000333E-3</v>
      </c>
      <c r="M225" s="24">
        <v>0.31041666666666667</v>
      </c>
      <c r="N225" s="8">
        <f>+M225-K225</f>
        <v>1.6666666666666663E-2</v>
      </c>
      <c r="O225" s="24">
        <f t="shared" si="17"/>
        <v>2.2916666666666696E-2</v>
      </c>
      <c r="P225" s="22">
        <v>2</v>
      </c>
      <c r="Q225" s="25" t="s">
        <v>51</v>
      </c>
      <c r="R225" s="22" t="str">
        <f>IF(COUNTIF(fest!$A$1:$A$18,B225)&gt;0,"FESTIVO", IF(OR(WEEKDAY(B225,2)=6,WEEKDAY(B225,2)=7),"NO HÁBIL","HÁBIL"))</f>
        <v>HÁBIL</v>
      </c>
    </row>
    <row r="226" spans="1:18" ht="15.75" customHeight="1" x14ac:dyDescent="0.2">
      <c r="A226" s="22" t="s">
        <v>43</v>
      </c>
      <c r="B226" s="23">
        <v>46168</v>
      </c>
      <c r="C226" s="6" t="s">
        <v>16</v>
      </c>
      <c r="D226" s="6" t="s">
        <v>12</v>
      </c>
      <c r="E226" s="6" t="s">
        <v>13</v>
      </c>
      <c r="F226" s="6" t="s">
        <v>14</v>
      </c>
      <c r="G226" s="24">
        <v>0.3125</v>
      </c>
      <c r="H226" s="24">
        <f t="shared" si="18"/>
        <v>0.71527777777777779</v>
      </c>
      <c r="I226" s="8">
        <f t="shared" si="19"/>
        <v>0.40277777777777779</v>
      </c>
      <c r="J226" s="24">
        <v>0.31041666666666667</v>
      </c>
      <c r="K226" s="24">
        <v>0.31527777777777777</v>
      </c>
      <c r="L226" s="24">
        <f t="shared" si="16"/>
        <v>4.8611111111110938E-3</v>
      </c>
      <c r="M226" s="24">
        <f>+K226+N226</f>
        <v>0.33090277777777777</v>
      </c>
      <c r="N226" s="8">
        <f>AVERAGE(N224:N225)</f>
        <v>1.5625E-2</v>
      </c>
      <c r="O226" s="24">
        <f t="shared" si="17"/>
        <v>2.0486111111111094E-2</v>
      </c>
      <c r="P226" s="22">
        <v>1</v>
      </c>
      <c r="Q226" s="25" t="s">
        <v>51</v>
      </c>
      <c r="R226" s="22" t="str">
        <f>IF(COUNTIF(fest!$A$1:$A$18,B226)&gt;0,"FESTIVO", IF(OR(WEEKDAY(B226,2)=6,WEEKDAY(B226,2)=7),"NO HÁBIL","HÁBIL"))</f>
        <v>HÁBIL</v>
      </c>
    </row>
    <row r="227" spans="1:18" ht="15.75" customHeight="1" x14ac:dyDescent="0.2">
      <c r="A227" s="22" t="s">
        <v>44</v>
      </c>
      <c r="B227" s="23">
        <v>46168</v>
      </c>
      <c r="C227" s="6" t="s">
        <v>11</v>
      </c>
      <c r="D227" s="6" t="s">
        <v>17</v>
      </c>
      <c r="E227" s="6" t="s">
        <v>14</v>
      </c>
      <c r="F227" s="6" t="s">
        <v>13</v>
      </c>
      <c r="G227" s="24">
        <v>0.71527777777777779</v>
      </c>
      <c r="H227" s="24">
        <f t="shared" si="18"/>
        <v>0.73958333333333337</v>
      </c>
      <c r="I227" s="8">
        <f t="shared" si="19"/>
        <v>2.430555555555558E-2</v>
      </c>
      <c r="J227" s="24">
        <v>0.70833333333333337</v>
      </c>
      <c r="K227" s="24">
        <v>0.71736111111111112</v>
      </c>
      <c r="L227" s="24">
        <f t="shared" si="16"/>
        <v>9.0277777777777457E-3</v>
      </c>
      <c r="M227" s="24">
        <v>0.75694444444444442</v>
      </c>
      <c r="N227" s="8">
        <f>+M227-K227</f>
        <v>3.9583333333333304E-2</v>
      </c>
      <c r="O227" s="24">
        <f t="shared" si="17"/>
        <v>4.8611111111111049E-2</v>
      </c>
      <c r="P227" s="22">
        <v>2</v>
      </c>
      <c r="Q227" s="25" t="s">
        <v>48</v>
      </c>
      <c r="R227" s="22" t="str">
        <f>IF(COUNTIF(fest!$A$1:$A$18,B227)&gt;0,"FESTIVO", IF(OR(WEEKDAY(B227,2)=6,WEEKDAY(B227,2)=7),"NO HÁBIL","HÁBIL"))</f>
        <v>HÁBIL</v>
      </c>
    </row>
    <row r="228" spans="1:18" ht="15.75" customHeight="1" x14ac:dyDescent="0.2">
      <c r="A228" s="22" t="s">
        <v>44</v>
      </c>
      <c r="B228" s="23">
        <v>46168</v>
      </c>
      <c r="C228" s="6" t="s">
        <v>15</v>
      </c>
      <c r="D228" s="6" t="s">
        <v>17</v>
      </c>
      <c r="E228" s="6" t="s">
        <v>14</v>
      </c>
      <c r="F228" s="6" t="s">
        <v>13</v>
      </c>
      <c r="G228" s="24">
        <v>0.73958333333333337</v>
      </c>
      <c r="H228" s="24">
        <f t="shared" si="18"/>
        <v>0.76388888888888884</v>
      </c>
      <c r="I228" s="8">
        <f t="shared" si="19"/>
        <v>2.4305555555555469E-2</v>
      </c>
      <c r="J228" s="24">
        <v>0</v>
      </c>
      <c r="K228" s="24">
        <v>0</v>
      </c>
      <c r="L228" s="24">
        <f t="shared" si="16"/>
        <v>0</v>
      </c>
      <c r="M228" s="24">
        <v>0</v>
      </c>
      <c r="N228" s="8">
        <f>+M228-K228</f>
        <v>0</v>
      </c>
      <c r="O228" s="24">
        <f t="shared" si="17"/>
        <v>0</v>
      </c>
      <c r="P228" s="22">
        <v>0</v>
      </c>
      <c r="Q228" s="25" t="s">
        <v>46</v>
      </c>
      <c r="R228" s="22" t="str">
        <f>IF(COUNTIF(fest!$A$1:$A$18,B228)&gt;0,"FESTIVO", IF(OR(WEEKDAY(B228,2)=6,WEEKDAY(B228,2)=7),"NO HÁBIL","HÁBIL"))</f>
        <v>HÁBIL</v>
      </c>
    </row>
    <row r="229" spans="1:18" ht="15.75" customHeight="1" x14ac:dyDescent="0.2">
      <c r="A229" s="22" t="s">
        <v>44</v>
      </c>
      <c r="B229" s="23">
        <v>46168</v>
      </c>
      <c r="C229" s="6" t="s">
        <v>16</v>
      </c>
      <c r="D229" s="6" t="s">
        <v>17</v>
      </c>
      <c r="E229" s="6" t="s">
        <v>14</v>
      </c>
      <c r="F229" s="6" t="s">
        <v>13</v>
      </c>
      <c r="G229" s="24">
        <v>0.76388888888888884</v>
      </c>
      <c r="H229" s="24">
        <f t="shared" si="18"/>
        <v>0.27083333333333331</v>
      </c>
      <c r="I229" s="8">
        <f t="shared" si="19"/>
        <v>-0.49305555555555552</v>
      </c>
      <c r="J229" s="24">
        <v>0.75694444444444442</v>
      </c>
      <c r="K229" s="24">
        <v>0.76597222222222228</v>
      </c>
      <c r="L229" s="24">
        <f t="shared" si="16"/>
        <v>9.0277777777778567E-3</v>
      </c>
      <c r="M229" s="24">
        <f>+K229+N229</f>
        <v>0.78576388888888893</v>
      </c>
      <c r="N229" s="8">
        <f>AVERAGE(N227:N228)</f>
        <v>1.9791666666666652E-2</v>
      </c>
      <c r="O229" s="24">
        <f t="shared" si="17"/>
        <v>2.8819444444444509E-2</v>
      </c>
      <c r="P229" s="22">
        <v>4</v>
      </c>
      <c r="Q229" s="25" t="s">
        <v>48</v>
      </c>
      <c r="R229" s="22" t="str">
        <f>IF(COUNTIF(fest!$A$1:$A$18,B229)&gt;0,"FESTIVO", IF(OR(WEEKDAY(B229,2)=6,WEEKDAY(B229,2)=7),"NO HÁBIL","HÁBIL"))</f>
        <v>HÁBIL</v>
      </c>
    </row>
    <row r="230" spans="1:18" ht="15.75" customHeight="1" x14ac:dyDescent="0.2">
      <c r="A230" s="22" t="s">
        <v>43</v>
      </c>
      <c r="B230" s="23">
        <v>46169</v>
      </c>
      <c r="C230" s="6" t="s">
        <v>11</v>
      </c>
      <c r="D230" s="6" t="s">
        <v>12</v>
      </c>
      <c r="E230" s="6" t="s">
        <v>13</v>
      </c>
      <c r="F230" s="6" t="s">
        <v>14</v>
      </c>
      <c r="G230" s="24">
        <v>0.27083333333333331</v>
      </c>
      <c r="H230" s="24">
        <f t="shared" si="18"/>
        <v>0.29166666666666669</v>
      </c>
      <c r="I230" s="8">
        <f t="shared" si="19"/>
        <v>2.083333333333337E-2</v>
      </c>
      <c r="J230" s="24">
        <v>0.2638888888888889</v>
      </c>
      <c r="K230" s="24">
        <v>0.27291666666666664</v>
      </c>
      <c r="L230" s="24">
        <f t="shared" si="16"/>
        <v>9.0277777777777457E-3</v>
      </c>
      <c r="M230" s="24">
        <v>0.28888888888888886</v>
      </c>
      <c r="N230" s="8">
        <f>+M230-K230</f>
        <v>1.5972222222222221E-2</v>
      </c>
      <c r="O230" s="24">
        <f t="shared" si="17"/>
        <v>2.4999999999999967E-2</v>
      </c>
      <c r="P230" s="22">
        <v>1</v>
      </c>
      <c r="Q230" s="25" t="s">
        <v>51</v>
      </c>
      <c r="R230" s="22" t="str">
        <f>IF(COUNTIF(fest!$A$1:$A$18,B230)&gt;0,"FESTIVO", IF(OR(WEEKDAY(B230,2)=6,WEEKDAY(B230,2)=7),"NO HÁBIL","HÁBIL"))</f>
        <v>HÁBIL</v>
      </c>
    </row>
    <row r="231" spans="1:18" ht="15.75" customHeight="1" x14ac:dyDescent="0.2">
      <c r="A231" s="22" t="s">
        <v>43</v>
      </c>
      <c r="B231" s="23">
        <v>46169</v>
      </c>
      <c r="C231" s="6" t="s">
        <v>15</v>
      </c>
      <c r="D231" s="6" t="s">
        <v>12</v>
      </c>
      <c r="E231" s="6" t="s">
        <v>13</v>
      </c>
      <c r="F231" s="6" t="s">
        <v>14</v>
      </c>
      <c r="G231" s="24">
        <v>0.29166666666666669</v>
      </c>
      <c r="H231" s="24">
        <f t="shared" si="18"/>
        <v>0.3125</v>
      </c>
      <c r="I231" s="8">
        <f t="shared" si="19"/>
        <v>2.0833333333333315E-2</v>
      </c>
      <c r="J231" s="24">
        <v>0.28888888888888886</v>
      </c>
      <c r="K231" s="24">
        <v>0.29444444444444445</v>
      </c>
      <c r="L231" s="24">
        <f t="shared" si="16"/>
        <v>5.5555555555555913E-3</v>
      </c>
      <c r="M231" s="24">
        <v>0.30972222222222223</v>
      </c>
      <c r="N231" s="8">
        <f>+M231-K231</f>
        <v>1.5277777777777779E-2</v>
      </c>
      <c r="O231" s="24">
        <f t="shared" si="17"/>
        <v>2.083333333333337E-2</v>
      </c>
      <c r="P231" s="22">
        <v>1</v>
      </c>
      <c r="Q231" s="25" t="s">
        <v>51</v>
      </c>
      <c r="R231" s="22" t="str">
        <f>IF(COUNTIF(fest!$A$1:$A$18,B231)&gt;0,"FESTIVO", IF(OR(WEEKDAY(B231,2)=6,WEEKDAY(B231,2)=7),"NO HÁBIL","HÁBIL"))</f>
        <v>HÁBIL</v>
      </c>
    </row>
    <row r="232" spans="1:18" ht="15.75" customHeight="1" x14ac:dyDescent="0.2">
      <c r="A232" s="22" t="s">
        <v>43</v>
      </c>
      <c r="B232" s="23">
        <v>46169</v>
      </c>
      <c r="C232" s="6" t="s">
        <v>16</v>
      </c>
      <c r="D232" s="6" t="s">
        <v>12</v>
      </c>
      <c r="E232" s="6" t="s">
        <v>13</v>
      </c>
      <c r="F232" s="6" t="s">
        <v>14</v>
      </c>
      <c r="G232" s="24">
        <v>0.3125</v>
      </c>
      <c r="H232" s="24">
        <f t="shared" si="18"/>
        <v>0.71527777777777779</v>
      </c>
      <c r="I232" s="8">
        <f t="shared" si="19"/>
        <v>0.40277777777777779</v>
      </c>
      <c r="J232" s="24">
        <v>0.30972222222222223</v>
      </c>
      <c r="K232" s="24">
        <v>0.32013888888888886</v>
      </c>
      <c r="L232" s="24">
        <f t="shared" si="16"/>
        <v>1.041666666666663E-2</v>
      </c>
      <c r="M232" s="24">
        <f>+K232+N232</f>
        <v>0.33576388888888886</v>
      </c>
      <c r="N232" s="8">
        <f>AVERAGE(N230:N231)</f>
        <v>1.5625E-2</v>
      </c>
      <c r="O232" s="24">
        <f t="shared" si="17"/>
        <v>2.604166666666663E-2</v>
      </c>
      <c r="P232" s="22">
        <v>0</v>
      </c>
      <c r="Q232" s="25" t="s">
        <v>51</v>
      </c>
      <c r="R232" s="22" t="str">
        <f>IF(COUNTIF(fest!$A$1:$A$18,B232)&gt;0,"FESTIVO", IF(OR(WEEKDAY(B232,2)=6,WEEKDAY(B232,2)=7),"NO HÁBIL","HÁBIL"))</f>
        <v>HÁBIL</v>
      </c>
    </row>
    <row r="233" spans="1:18" ht="15.75" customHeight="1" x14ac:dyDescent="0.2">
      <c r="A233" s="22" t="s">
        <v>44</v>
      </c>
      <c r="B233" s="23">
        <v>46169</v>
      </c>
      <c r="C233" s="6" t="s">
        <v>11</v>
      </c>
      <c r="D233" s="6" t="s">
        <v>17</v>
      </c>
      <c r="E233" s="6" t="s">
        <v>14</v>
      </c>
      <c r="F233" s="6" t="s">
        <v>13</v>
      </c>
      <c r="G233" s="24">
        <v>0.71527777777777779</v>
      </c>
      <c r="H233" s="24">
        <f t="shared" si="18"/>
        <v>0.73958333333333337</v>
      </c>
      <c r="I233" s="8">
        <f t="shared" si="19"/>
        <v>2.430555555555558E-2</v>
      </c>
      <c r="J233" s="24">
        <v>0.70833333333333337</v>
      </c>
      <c r="K233" s="24">
        <v>0.71875</v>
      </c>
      <c r="L233" s="24">
        <f t="shared" si="16"/>
        <v>1.041666666666663E-2</v>
      </c>
      <c r="M233" s="24">
        <v>0.74027777777777781</v>
      </c>
      <c r="N233" s="8">
        <f>+M233-K233</f>
        <v>2.1527777777777812E-2</v>
      </c>
      <c r="O233" s="24">
        <f t="shared" si="17"/>
        <v>3.1944444444444442E-2</v>
      </c>
      <c r="P233" s="22">
        <v>2</v>
      </c>
      <c r="Q233" s="25" t="s">
        <v>48</v>
      </c>
      <c r="R233" s="22" t="str">
        <f>IF(COUNTIF(fest!$A$1:$A$18,B233)&gt;0,"FESTIVO", IF(OR(WEEKDAY(B233,2)=6,WEEKDAY(B233,2)=7),"NO HÁBIL","HÁBIL"))</f>
        <v>HÁBIL</v>
      </c>
    </row>
    <row r="234" spans="1:18" ht="15.75" customHeight="1" x14ac:dyDescent="0.2">
      <c r="A234" s="22" t="s">
        <v>44</v>
      </c>
      <c r="B234" s="23">
        <v>46169</v>
      </c>
      <c r="C234" s="6" t="s">
        <v>15</v>
      </c>
      <c r="D234" s="6" t="s">
        <v>17</v>
      </c>
      <c r="E234" s="6" t="s">
        <v>14</v>
      </c>
      <c r="F234" s="6" t="s">
        <v>13</v>
      </c>
      <c r="G234" s="24">
        <v>0.73958333333333337</v>
      </c>
      <c r="H234" s="24">
        <f t="shared" si="18"/>
        <v>0.76388888888888884</v>
      </c>
      <c r="I234" s="8">
        <f t="shared" si="19"/>
        <v>2.4305555555555469E-2</v>
      </c>
      <c r="J234" s="24">
        <v>0.74027777777777781</v>
      </c>
      <c r="K234" s="24">
        <v>0.74305555555555558</v>
      </c>
      <c r="L234" s="24">
        <f t="shared" si="16"/>
        <v>2.7777777777777679E-3</v>
      </c>
      <c r="M234" s="24">
        <v>0.76458333333333328</v>
      </c>
      <c r="N234" s="8">
        <f>+M234-K234</f>
        <v>2.1527777777777701E-2</v>
      </c>
      <c r="O234" s="24">
        <f t="shared" si="17"/>
        <v>2.4305555555555469E-2</v>
      </c>
      <c r="P234" s="22">
        <v>2</v>
      </c>
      <c r="Q234" s="25" t="s">
        <v>48</v>
      </c>
      <c r="R234" s="22" t="str">
        <f>IF(COUNTIF(fest!$A$1:$A$18,B234)&gt;0,"FESTIVO", IF(OR(WEEKDAY(B234,2)=6,WEEKDAY(B234,2)=7),"NO HÁBIL","HÁBIL"))</f>
        <v>HÁBIL</v>
      </c>
    </row>
    <row r="235" spans="1:18" ht="15.75" customHeight="1" x14ac:dyDescent="0.2">
      <c r="A235" s="22" t="s">
        <v>44</v>
      </c>
      <c r="B235" s="23">
        <v>46169</v>
      </c>
      <c r="C235" s="6" t="s">
        <v>16</v>
      </c>
      <c r="D235" s="6" t="s">
        <v>17</v>
      </c>
      <c r="E235" s="6" t="s">
        <v>14</v>
      </c>
      <c r="F235" s="6" t="s">
        <v>13</v>
      </c>
      <c r="G235" s="24">
        <v>0.76388888888888884</v>
      </c>
      <c r="H235" s="24">
        <f t="shared" si="18"/>
        <v>0.27083333333333331</v>
      </c>
      <c r="I235" s="8">
        <f t="shared" si="19"/>
        <v>-0.49305555555555552</v>
      </c>
      <c r="J235" s="24">
        <v>0.76458333333333328</v>
      </c>
      <c r="K235" s="24">
        <v>0.76875000000000004</v>
      </c>
      <c r="L235" s="24">
        <f t="shared" si="16"/>
        <v>4.1666666666667629E-3</v>
      </c>
      <c r="M235" s="24">
        <f>+K235+N235</f>
        <v>0.79027777777777786</v>
      </c>
      <c r="N235" s="8">
        <f>AVERAGE(N233:N234)</f>
        <v>2.1527777777777757E-2</v>
      </c>
      <c r="O235" s="24">
        <f t="shared" si="17"/>
        <v>2.569444444444452E-2</v>
      </c>
      <c r="P235" s="22">
        <v>2</v>
      </c>
      <c r="Q235" s="25" t="s">
        <v>48</v>
      </c>
      <c r="R235" s="22" t="str">
        <f>IF(COUNTIF(fest!$A$1:$A$18,B235)&gt;0,"FESTIVO", IF(OR(WEEKDAY(B235,2)=6,WEEKDAY(B235,2)=7),"NO HÁBIL","HÁBIL"))</f>
        <v>HÁBIL</v>
      </c>
    </row>
    <row r="236" spans="1:18" ht="15.75" customHeight="1" x14ac:dyDescent="0.2">
      <c r="A236" s="22" t="s">
        <v>43</v>
      </c>
      <c r="B236" s="23">
        <v>46170</v>
      </c>
      <c r="C236" s="6" t="s">
        <v>11</v>
      </c>
      <c r="D236" s="6" t="s">
        <v>12</v>
      </c>
      <c r="E236" s="6" t="s">
        <v>13</v>
      </c>
      <c r="F236" s="6" t="s">
        <v>14</v>
      </c>
      <c r="G236" s="24">
        <v>0.27083333333333331</v>
      </c>
      <c r="H236" s="24">
        <f t="shared" si="18"/>
        <v>0.29166666666666669</v>
      </c>
      <c r="I236" s="8">
        <f t="shared" si="19"/>
        <v>2.083333333333337E-2</v>
      </c>
      <c r="J236" s="24">
        <v>0.2638888888888889</v>
      </c>
      <c r="K236" s="24">
        <v>0.27361111111111114</v>
      </c>
      <c r="L236" s="24">
        <f t="shared" si="16"/>
        <v>9.7222222222222432E-3</v>
      </c>
      <c r="M236" s="24">
        <v>0.28819444444444442</v>
      </c>
      <c r="N236" s="8">
        <f>+M236-K236</f>
        <v>1.4583333333333282E-2</v>
      </c>
      <c r="O236" s="24">
        <f t="shared" si="17"/>
        <v>2.4305555555555525E-2</v>
      </c>
      <c r="P236" s="22">
        <v>3</v>
      </c>
      <c r="Q236" s="25" t="s">
        <v>51</v>
      </c>
      <c r="R236" s="22" t="str">
        <f>IF(COUNTIF(fest!$A$1:$A$18,B236)&gt;0,"FESTIVO", IF(OR(WEEKDAY(B236,2)=6,WEEKDAY(B236,2)=7),"NO HÁBIL","HÁBIL"))</f>
        <v>HÁBIL</v>
      </c>
    </row>
    <row r="237" spans="1:18" ht="15.75" customHeight="1" x14ac:dyDescent="0.2">
      <c r="A237" s="22" t="s">
        <v>43</v>
      </c>
      <c r="B237" s="23">
        <v>46170</v>
      </c>
      <c r="C237" s="6" t="s">
        <v>15</v>
      </c>
      <c r="D237" s="6" t="s">
        <v>12</v>
      </c>
      <c r="E237" s="6" t="s">
        <v>13</v>
      </c>
      <c r="F237" s="6" t="s">
        <v>14</v>
      </c>
      <c r="G237" s="24">
        <v>0.29166666666666669</v>
      </c>
      <c r="H237" s="24">
        <f t="shared" si="18"/>
        <v>0.3125</v>
      </c>
      <c r="I237" s="8">
        <f t="shared" si="19"/>
        <v>2.0833333333333315E-2</v>
      </c>
      <c r="J237" s="24">
        <v>0.28819444444444442</v>
      </c>
      <c r="K237" s="24">
        <v>0.29375000000000001</v>
      </c>
      <c r="L237" s="24">
        <f t="shared" si="16"/>
        <v>5.5555555555555913E-3</v>
      </c>
      <c r="M237" s="24">
        <v>0.31041666666666667</v>
      </c>
      <c r="N237" s="8">
        <f>+M237-K237</f>
        <v>1.6666666666666663E-2</v>
      </c>
      <c r="O237" s="24">
        <f t="shared" si="17"/>
        <v>2.2222222222222254E-2</v>
      </c>
      <c r="P237" s="22">
        <v>3</v>
      </c>
      <c r="Q237" s="25" t="s">
        <v>51</v>
      </c>
      <c r="R237" s="22" t="str">
        <f>IF(COUNTIF(fest!$A$1:$A$18,B237)&gt;0,"FESTIVO", IF(OR(WEEKDAY(B237,2)=6,WEEKDAY(B237,2)=7),"NO HÁBIL","HÁBIL"))</f>
        <v>HÁBIL</v>
      </c>
    </row>
    <row r="238" spans="1:18" ht="15.75" customHeight="1" x14ac:dyDescent="0.2">
      <c r="A238" s="22" t="s">
        <v>43</v>
      </c>
      <c r="B238" s="23">
        <v>46170</v>
      </c>
      <c r="C238" s="6" t="s">
        <v>16</v>
      </c>
      <c r="D238" s="6" t="s">
        <v>12</v>
      </c>
      <c r="E238" s="6" t="s">
        <v>13</v>
      </c>
      <c r="F238" s="6" t="s">
        <v>14</v>
      </c>
      <c r="G238" s="24">
        <v>0.3125</v>
      </c>
      <c r="H238" s="24">
        <f t="shared" si="18"/>
        <v>0.71527777777777779</v>
      </c>
      <c r="I238" s="8">
        <f t="shared" si="19"/>
        <v>0.40277777777777779</v>
      </c>
      <c r="J238" s="24">
        <v>0.31041666666666667</v>
      </c>
      <c r="K238" s="24">
        <v>0.31944444444444442</v>
      </c>
      <c r="L238" s="24">
        <f t="shared" si="16"/>
        <v>9.0277777777777457E-3</v>
      </c>
      <c r="M238" s="24">
        <f>+K238+N238</f>
        <v>0.33506944444444442</v>
      </c>
      <c r="N238" s="8">
        <f>AVERAGE(N236:N237)</f>
        <v>1.5624999999999972E-2</v>
      </c>
      <c r="O238" s="24">
        <f t="shared" si="17"/>
        <v>2.4652777777777718E-2</v>
      </c>
      <c r="P238" s="22">
        <v>0</v>
      </c>
      <c r="Q238" s="25" t="s">
        <v>51</v>
      </c>
      <c r="R238" s="22" t="str">
        <f>IF(COUNTIF(fest!$A$1:$A$18,B238)&gt;0,"FESTIVO", IF(OR(WEEKDAY(B238,2)=6,WEEKDAY(B238,2)=7),"NO HÁBIL","HÁBIL"))</f>
        <v>HÁBIL</v>
      </c>
    </row>
    <row r="239" spans="1:18" ht="15.75" customHeight="1" x14ac:dyDescent="0.2">
      <c r="A239" s="22" t="s">
        <v>44</v>
      </c>
      <c r="B239" s="23">
        <v>46170</v>
      </c>
      <c r="C239" s="6" t="s">
        <v>11</v>
      </c>
      <c r="D239" s="6" t="s">
        <v>17</v>
      </c>
      <c r="E239" s="6" t="s">
        <v>14</v>
      </c>
      <c r="F239" s="6" t="s">
        <v>13</v>
      </c>
      <c r="G239" s="24">
        <v>0.71527777777777779</v>
      </c>
      <c r="H239" s="24">
        <f t="shared" si="18"/>
        <v>0.73958333333333337</v>
      </c>
      <c r="I239" s="8">
        <f t="shared" si="19"/>
        <v>2.430555555555558E-2</v>
      </c>
      <c r="J239" s="24">
        <v>0.70902777777777781</v>
      </c>
      <c r="K239" s="24">
        <v>0.71736111111111112</v>
      </c>
      <c r="L239" s="24">
        <f t="shared" si="16"/>
        <v>8.3333333333333037E-3</v>
      </c>
      <c r="M239" s="24">
        <v>0.75277777777777777</v>
      </c>
      <c r="N239" s="8">
        <f>+M239-K239</f>
        <v>3.5416666666666652E-2</v>
      </c>
      <c r="O239" s="24">
        <f t="shared" si="17"/>
        <v>4.3749999999999956E-2</v>
      </c>
      <c r="P239" s="22">
        <v>4</v>
      </c>
      <c r="Q239" s="25" t="s">
        <v>48</v>
      </c>
      <c r="R239" s="22" t="str">
        <f>IF(COUNTIF(fest!$A$1:$A$18,B239)&gt;0,"FESTIVO", IF(OR(WEEKDAY(B239,2)=6,WEEKDAY(B239,2)=7),"NO HÁBIL","HÁBIL"))</f>
        <v>HÁBIL</v>
      </c>
    </row>
    <row r="240" spans="1:18" ht="15.75" customHeight="1" x14ac:dyDescent="0.2">
      <c r="A240" s="22" t="s">
        <v>44</v>
      </c>
      <c r="B240" s="23">
        <v>46170</v>
      </c>
      <c r="C240" s="6" t="s">
        <v>15</v>
      </c>
      <c r="D240" s="6" t="s">
        <v>17</v>
      </c>
      <c r="E240" s="6" t="s">
        <v>14</v>
      </c>
      <c r="F240" s="6" t="s">
        <v>13</v>
      </c>
      <c r="G240" s="24">
        <v>0.73958333333333337</v>
      </c>
      <c r="H240" s="24">
        <f t="shared" si="18"/>
        <v>0.76388888888888884</v>
      </c>
      <c r="I240" s="8">
        <f t="shared" si="19"/>
        <v>2.4305555555555469E-2</v>
      </c>
      <c r="J240" s="24">
        <v>0</v>
      </c>
      <c r="K240" s="24">
        <v>0</v>
      </c>
      <c r="L240" s="24">
        <f t="shared" si="16"/>
        <v>0</v>
      </c>
      <c r="M240" s="24">
        <v>0</v>
      </c>
      <c r="N240" s="8">
        <f>+M240-K240</f>
        <v>0</v>
      </c>
      <c r="O240" s="24">
        <f t="shared" si="17"/>
        <v>0</v>
      </c>
      <c r="P240" s="22">
        <v>0</v>
      </c>
      <c r="Q240" s="25" t="s">
        <v>46</v>
      </c>
      <c r="R240" s="22" t="str">
        <f>IF(COUNTIF(fest!$A$1:$A$18,B240)&gt;0,"FESTIVO", IF(OR(WEEKDAY(B240,2)=6,WEEKDAY(B240,2)=7),"NO HÁBIL","HÁBIL"))</f>
        <v>HÁBIL</v>
      </c>
    </row>
    <row r="241" spans="1:18" ht="15.75" customHeight="1" x14ac:dyDescent="0.2">
      <c r="A241" s="22" t="s">
        <v>44</v>
      </c>
      <c r="B241" s="23">
        <v>46170</v>
      </c>
      <c r="C241" s="6" t="s">
        <v>16</v>
      </c>
      <c r="D241" s="6" t="s">
        <v>17</v>
      </c>
      <c r="E241" s="6" t="s">
        <v>14</v>
      </c>
      <c r="F241" s="6" t="s">
        <v>13</v>
      </c>
      <c r="G241" s="24">
        <v>0.76388888888888884</v>
      </c>
      <c r="H241" s="24">
        <f t="shared" si="18"/>
        <v>0.27083333333333331</v>
      </c>
      <c r="I241" s="8">
        <f t="shared" si="19"/>
        <v>-0.49305555555555552</v>
      </c>
      <c r="J241" s="24">
        <v>0.75277777777777777</v>
      </c>
      <c r="K241" s="24">
        <v>0.76597222222222228</v>
      </c>
      <c r="L241" s="24">
        <f t="shared" si="16"/>
        <v>1.3194444444444509E-2</v>
      </c>
      <c r="M241" s="24">
        <f>+K241+N241</f>
        <v>0.7836805555555556</v>
      </c>
      <c r="N241" s="8">
        <f>AVERAGE(N239:N240)</f>
        <v>1.7708333333333326E-2</v>
      </c>
      <c r="O241" s="24">
        <f t="shared" si="17"/>
        <v>3.0902777777777835E-2</v>
      </c>
      <c r="P241" s="22">
        <v>7</v>
      </c>
      <c r="Q241" s="25" t="s">
        <v>48</v>
      </c>
      <c r="R241" s="22" t="str">
        <f>IF(COUNTIF(fest!$A$1:$A$18,B241)&gt;0,"FESTIVO", IF(OR(WEEKDAY(B241,2)=6,WEEKDAY(B241,2)=7),"NO HÁBIL","HÁBIL"))</f>
        <v>HÁBIL</v>
      </c>
    </row>
    <row r="242" spans="1:18" ht="15.75" customHeight="1" x14ac:dyDescent="0.2">
      <c r="A242" s="22" t="s">
        <v>43</v>
      </c>
      <c r="B242" s="23">
        <v>46171</v>
      </c>
      <c r="C242" s="6" t="s">
        <v>11</v>
      </c>
      <c r="D242" s="6" t="s">
        <v>12</v>
      </c>
      <c r="E242" s="6" t="s">
        <v>13</v>
      </c>
      <c r="F242" s="6" t="s">
        <v>14</v>
      </c>
      <c r="G242" s="24">
        <v>0.27083333333333331</v>
      </c>
      <c r="H242" s="24">
        <f t="shared" si="18"/>
        <v>0.29166666666666669</v>
      </c>
      <c r="I242" s="8">
        <f t="shared" si="19"/>
        <v>2.083333333333337E-2</v>
      </c>
      <c r="J242" s="24">
        <v>0.2638888888888889</v>
      </c>
      <c r="K242" s="24">
        <v>0.27638888888888891</v>
      </c>
      <c r="L242" s="24">
        <f t="shared" si="16"/>
        <v>1.2500000000000011E-2</v>
      </c>
      <c r="M242" s="24">
        <v>0.28888888888888886</v>
      </c>
      <c r="N242" s="8">
        <f>+M242-K242</f>
        <v>1.2499999999999956E-2</v>
      </c>
      <c r="O242" s="24">
        <f t="shared" si="17"/>
        <v>2.4999999999999967E-2</v>
      </c>
      <c r="P242" s="22">
        <v>0</v>
      </c>
      <c r="Q242" s="25" t="s">
        <v>51</v>
      </c>
      <c r="R242" s="22" t="str">
        <f>IF(COUNTIF(fest!$A$1:$A$18,B242)&gt;0,"FESTIVO", IF(OR(WEEKDAY(B242,2)=6,WEEKDAY(B242,2)=7),"NO HÁBIL","HÁBIL"))</f>
        <v>HÁBIL</v>
      </c>
    </row>
    <row r="243" spans="1:18" ht="15.75" customHeight="1" x14ac:dyDescent="0.2">
      <c r="A243" s="22" t="s">
        <v>43</v>
      </c>
      <c r="B243" s="23">
        <v>46171</v>
      </c>
      <c r="C243" s="6" t="s">
        <v>15</v>
      </c>
      <c r="D243" s="6" t="s">
        <v>12</v>
      </c>
      <c r="E243" s="6" t="s">
        <v>13</v>
      </c>
      <c r="F243" s="6" t="s">
        <v>14</v>
      </c>
      <c r="G243" s="24">
        <v>0.29166666666666669</v>
      </c>
      <c r="H243" s="24">
        <f t="shared" si="18"/>
        <v>0.3125</v>
      </c>
      <c r="I243" s="8">
        <f t="shared" si="19"/>
        <v>2.0833333333333315E-2</v>
      </c>
      <c r="J243" s="24">
        <v>0.28888888888888886</v>
      </c>
      <c r="K243" s="24">
        <v>0.29930555555555555</v>
      </c>
      <c r="L243" s="24">
        <f t="shared" si="16"/>
        <v>1.0416666666666685E-2</v>
      </c>
      <c r="M243" s="24">
        <v>0.31041666666666667</v>
      </c>
      <c r="N243" s="8">
        <f>+M243-K243</f>
        <v>1.1111111111111127E-2</v>
      </c>
      <c r="O243" s="24">
        <f t="shared" si="17"/>
        <v>2.1527777777777812E-2</v>
      </c>
      <c r="P243" s="22">
        <v>0</v>
      </c>
      <c r="Q243" s="25" t="s">
        <v>51</v>
      </c>
      <c r="R243" s="22" t="str">
        <f>IF(COUNTIF(fest!$A$1:$A$18,B243)&gt;0,"FESTIVO", IF(OR(WEEKDAY(B243,2)=6,WEEKDAY(B243,2)=7),"NO HÁBIL","HÁBIL"))</f>
        <v>HÁBIL</v>
      </c>
    </row>
    <row r="244" spans="1:18" ht="15.75" customHeight="1" x14ac:dyDescent="0.2">
      <c r="A244" s="22" t="s">
        <v>43</v>
      </c>
      <c r="B244" s="23">
        <v>46171</v>
      </c>
      <c r="C244" s="6" t="s">
        <v>16</v>
      </c>
      <c r="D244" s="6" t="s">
        <v>12</v>
      </c>
      <c r="E244" s="6" t="s">
        <v>13</v>
      </c>
      <c r="F244" s="6" t="s">
        <v>14</v>
      </c>
      <c r="G244" s="24">
        <v>0.3125</v>
      </c>
      <c r="H244" s="24">
        <f t="shared" si="18"/>
        <v>0.71527777777777779</v>
      </c>
      <c r="I244" s="8">
        <f t="shared" si="19"/>
        <v>0.40277777777777779</v>
      </c>
      <c r="J244" s="24">
        <v>0.31041666666666667</v>
      </c>
      <c r="K244" s="24">
        <v>0.31458333333333333</v>
      </c>
      <c r="L244" s="24">
        <f t="shared" si="16"/>
        <v>4.1666666666666519E-3</v>
      </c>
      <c r="M244" s="24">
        <f>+K244+N244</f>
        <v>0.32638888888888884</v>
      </c>
      <c r="N244" s="8">
        <f>AVERAGE(N242:N243)</f>
        <v>1.1805555555555541E-2</v>
      </c>
      <c r="O244" s="24">
        <f t="shared" si="17"/>
        <v>1.5972222222222193E-2</v>
      </c>
      <c r="P244" s="22">
        <v>2</v>
      </c>
      <c r="Q244" s="25" t="s">
        <v>51</v>
      </c>
      <c r="R244" s="22" t="str">
        <f>IF(COUNTIF(fest!$A$1:$A$18,B244)&gt;0,"FESTIVO", IF(OR(WEEKDAY(B244,2)=6,WEEKDAY(B244,2)=7),"NO HÁBIL","HÁBIL"))</f>
        <v>HÁBIL</v>
      </c>
    </row>
    <row r="245" spans="1:18" ht="15.75" customHeight="1" x14ac:dyDescent="0.2">
      <c r="A245" s="22" t="s">
        <v>44</v>
      </c>
      <c r="B245" s="23">
        <v>46171</v>
      </c>
      <c r="C245" s="6" t="s">
        <v>11</v>
      </c>
      <c r="D245" s="6" t="s">
        <v>17</v>
      </c>
      <c r="E245" s="6" t="s">
        <v>14</v>
      </c>
      <c r="F245" s="6" t="s">
        <v>13</v>
      </c>
      <c r="G245" s="24">
        <v>0.71527777777777779</v>
      </c>
      <c r="H245" s="24">
        <f t="shared" si="18"/>
        <v>0.73958333333333337</v>
      </c>
      <c r="I245" s="8">
        <f t="shared" si="19"/>
        <v>2.430555555555558E-2</v>
      </c>
      <c r="J245" s="24">
        <v>0.66666666666666663</v>
      </c>
      <c r="K245" s="24">
        <v>0.67569444444444449</v>
      </c>
      <c r="L245" s="24">
        <f t="shared" si="16"/>
        <v>9.0277777777778567E-3</v>
      </c>
      <c r="M245" s="24">
        <v>0.70208333333333328</v>
      </c>
      <c r="N245" s="8">
        <f>+M245-K245</f>
        <v>2.6388888888888795E-2</v>
      </c>
      <c r="O245" s="24">
        <f t="shared" si="17"/>
        <v>3.5416666666666652E-2</v>
      </c>
      <c r="P245" s="22">
        <v>1</v>
      </c>
      <c r="Q245" s="25" t="s">
        <v>48</v>
      </c>
      <c r="R245" s="22" t="str">
        <f>IF(COUNTIF(fest!$A$1:$A$18,B245)&gt;0,"FESTIVO", IF(OR(WEEKDAY(B245,2)=6,WEEKDAY(B245,2)=7),"NO HÁBIL","HÁBIL"))</f>
        <v>HÁBIL</v>
      </c>
    </row>
    <row r="246" spans="1:18" ht="15.75" customHeight="1" x14ac:dyDescent="0.2">
      <c r="A246" s="22" t="s">
        <v>44</v>
      </c>
      <c r="B246" s="23">
        <v>46171</v>
      </c>
      <c r="C246" s="6" t="s">
        <v>15</v>
      </c>
      <c r="D246" s="6" t="s">
        <v>17</v>
      </c>
      <c r="E246" s="6" t="s">
        <v>14</v>
      </c>
      <c r="F246" s="6" t="s">
        <v>13</v>
      </c>
      <c r="G246" s="24">
        <v>0.73958333333333337</v>
      </c>
      <c r="H246" s="24">
        <f t="shared" si="18"/>
        <v>0.76388888888888884</v>
      </c>
      <c r="I246" s="8">
        <f t="shared" si="19"/>
        <v>2.4305555555555469E-2</v>
      </c>
      <c r="J246" s="24">
        <v>0.70208333333333328</v>
      </c>
      <c r="K246" s="24">
        <v>0.70833333333333337</v>
      </c>
      <c r="L246" s="24">
        <f t="shared" si="16"/>
        <v>6.2500000000000888E-3</v>
      </c>
      <c r="M246" s="24">
        <v>0.72222222222222221</v>
      </c>
      <c r="N246" s="8">
        <f>+M246-K246</f>
        <v>1.388888888888884E-2</v>
      </c>
      <c r="O246" s="24">
        <f t="shared" si="17"/>
        <v>2.0138888888888928E-2</v>
      </c>
      <c r="P246" s="22">
        <v>1</v>
      </c>
      <c r="Q246" s="25" t="s">
        <v>48</v>
      </c>
      <c r="R246" s="22" t="str">
        <f>IF(COUNTIF(fest!$A$1:$A$18,B246)&gt;0,"FESTIVO", IF(OR(WEEKDAY(B246,2)=6,WEEKDAY(B246,2)=7),"NO HÁBIL","HÁBIL"))</f>
        <v>HÁBIL</v>
      </c>
    </row>
    <row r="247" spans="1:18" ht="15.75" customHeight="1" x14ac:dyDescent="0.2">
      <c r="A247" s="22" t="s">
        <v>44</v>
      </c>
      <c r="B247" s="23">
        <v>46171</v>
      </c>
      <c r="C247" s="6" t="s">
        <v>16</v>
      </c>
      <c r="D247" s="6" t="s">
        <v>17</v>
      </c>
      <c r="E247" s="6" t="s">
        <v>14</v>
      </c>
      <c r="F247" s="6" t="s">
        <v>13</v>
      </c>
      <c r="G247" s="24">
        <v>0.76388888888888884</v>
      </c>
      <c r="H247" s="24">
        <f t="shared" si="18"/>
        <v>0.27083333333333331</v>
      </c>
      <c r="I247" s="8">
        <f t="shared" si="19"/>
        <v>-0.49305555555555552</v>
      </c>
      <c r="J247" s="24">
        <v>0.72222222222222221</v>
      </c>
      <c r="K247" s="24">
        <v>0.72499999999999998</v>
      </c>
      <c r="L247" s="24">
        <f t="shared" si="16"/>
        <v>2.7777777777777679E-3</v>
      </c>
      <c r="M247" s="24">
        <f>+K247+N247</f>
        <v>0.7451388888888888</v>
      </c>
      <c r="N247" s="8">
        <f>AVERAGE(N245:N246)</f>
        <v>2.0138888888888817E-2</v>
      </c>
      <c r="O247" s="24">
        <f t="shared" si="17"/>
        <v>2.2916666666666585E-2</v>
      </c>
      <c r="P247" s="22">
        <v>1</v>
      </c>
      <c r="Q247" s="25" t="s">
        <v>48</v>
      </c>
      <c r="R247" s="22" t="str">
        <f>IF(COUNTIF(fest!$A$1:$A$18,B247)&gt;0,"FESTIVO", IF(OR(WEEKDAY(B247,2)=6,WEEKDAY(B247,2)=7),"NO HÁBIL","HÁBIL"))</f>
        <v>HÁBIL</v>
      </c>
    </row>
    <row r="248" spans="1:18" ht="15.75" customHeight="1" x14ac:dyDescent="0.2">
      <c r="A248" s="22" t="s">
        <v>43</v>
      </c>
      <c r="B248" s="23">
        <v>46174</v>
      </c>
      <c r="C248" s="22" t="s">
        <v>11</v>
      </c>
      <c r="D248" s="22" t="s">
        <v>12</v>
      </c>
      <c r="E248" s="22" t="s">
        <v>13</v>
      </c>
      <c r="F248" s="22" t="s">
        <v>14</v>
      </c>
      <c r="G248" s="24">
        <v>0.27083333333333331</v>
      </c>
      <c r="H248" s="24">
        <f t="shared" si="18"/>
        <v>0.29166666666666669</v>
      </c>
      <c r="I248" s="8">
        <f t="shared" si="19"/>
        <v>2.083333333333337E-2</v>
      </c>
      <c r="J248" s="24">
        <v>0.2638888888888889</v>
      </c>
      <c r="K248" s="24">
        <v>0.27291666666666664</v>
      </c>
      <c r="L248" s="24">
        <f t="shared" si="16"/>
        <v>9.0277777777777457E-3</v>
      </c>
      <c r="M248" s="24">
        <v>0.28819444444444442</v>
      </c>
      <c r="N248" s="8">
        <f>+M248-K248</f>
        <v>1.5277777777777779E-2</v>
      </c>
      <c r="O248" s="24">
        <f t="shared" si="17"/>
        <v>2.4305555555555525E-2</v>
      </c>
      <c r="P248" s="22">
        <v>3</v>
      </c>
      <c r="Q248" s="25" t="s">
        <v>51</v>
      </c>
      <c r="R248" s="22" t="str">
        <f>IF(COUNTIF(fest!$A$1:$A$18,B248)&gt;0,"FESTIVO", IF(OR(WEEKDAY(B248,2)=6,WEEKDAY(B248,2)=7),"NO HÁBIL","HÁBIL"))</f>
        <v>HÁBIL</v>
      </c>
    </row>
    <row r="249" spans="1:18" ht="15.75" customHeight="1" x14ac:dyDescent="0.2">
      <c r="A249" s="22" t="s">
        <v>43</v>
      </c>
      <c r="B249" s="23">
        <v>46174</v>
      </c>
      <c r="C249" s="22" t="s">
        <v>15</v>
      </c>
      <c r="D249" s="22" t="s">
        <v>12</v>
      </c>
      <c r="E249" s="22" t="s">
        <v>13</v>
      </c>
      <c r="F249" s="22" t="s">
        <v>14</v>
      </c>
      <c r="G249" s="24">
        <v>0.29166666666666669</v>
      </c>
      <c r="H249" s="24">
        <f t="shared" si="18"/>
        <v>0.3125</v>
      </c>
      <c r="I249" s="8">
        <f t="shared" si="19"/>
        <v>2.0833333333333315E-2</v>
      </c>
      <c r="J249" s="24">
        <v>0.28819444444444442</v>
      </c>
      <c r="K249" s="24">
        <v>0.29375000000000001</v>
      </c>
      <c r="L249" s="24">
        <f t="shared" si="16"/>
        <v>5.5555555555555913E-3</v>
      </c>
      <c r="M249" s="24">
        <v>0.31527777777777777</v>
      </c>
      <c r="N249" s="8">
        <f>+M249-K249</f>
        <v>2.1527777777777757E-2</v>
      </c>
      <c r="O249" s="24">
        <f t="shared" si="17"/>
        <v>2.7083333333333348E-2</v>
      </c>
      <c r="P249" s="22">
        <v>4</v>
      </c>
      <c r="Q249" s="25" t="s">
        <v>51</v>
      </c>
      <c r="R249" s="22" t="str">
        <f>IF(COUNTIF(fest!$A$1:$A$18,B249)&gt;0,"FESTIVO", IF(OR(WEEKDAY(B249,2)=6,WEEKDAY(B249,2)=7),"NO HÁBIL","HÁBIL"))</f>
        <v>HÁBIL</v>
      </c>
    </row>
    <row r="250" spans="1:18" ht="15.75" customHeight="1" x14ac:dyDescent="0.2">
      <c r="A250" s="22" t="s">
        <v>43</v>
      </c>
      <c r="B250" s="23">
        <v>46174</v>
      </c>
      <c r="C250" s="22" t="s">
        <v>16</v>
      </c>
      <c r="D250" s="22" t="s">
        <v>12</v>
      </c>
      <c r="E250" s="22" t="s">
        <v>13</v>
      </c>
      <c r="F250" s="22" t="s">
        <v>14</v>
      </c>
      <c r="G250" s="24">
        <v>0.3125</v>
      </c>
      <c r="H250" s="24">
        <f t="shared" si="18"/>
        <v>0.71527777777777779</v>
      </c>
      <c r="I250" s="8">
        <f t="shared" si="19"/>
        <v>0.40277777777777779</v>
      </c>
      <c r="J250" s="24">
        <v>0.31527777777777777</v>
      </c>
      <c r="K250" s="24">
        <v>0.32291666666666669</v>
      </c>
      <c r="L250" s="24">
        <f t="shared" si="16"/>
        <v>7.6388888888889173E-3</v>
      </c>
      <c r="M250" s="24">
        <f>+K250+N250</f>
        <v>0.34131944444444445</v>
      </c>
      <c r="N250" s="8">
        <f>AVERAGE(N248:N249)</f>
        <v>1.8402777777777768E-2</v>
      </c>
      <c r="O250" s="24">
        <f t="shared" si="17"/>
        <v>2.6041666666666685E-2</v>
      </c>
      <c r="P250" s="22">
        <v>1</v>
      </c>
      <c r="Q250" s="25" t="s">
        <v>51</v>
      </c>
      <c r="R250" s="22" t="str">
        <f>IF(COUNTIF(fest!$A$1:$A$18,B250)&gt;0,"FESTIVO", IF(OR(WEEKDAY(B250,2)=6,WEEKDAY(B250,2)=7),"NO HÁBIL","HÁBIL"))</f>
        <v>HÁBIL</v>
      </c>
    </row>
    <row r="251" spans="1:18" ht="15.75" customHeight="1" x14ac:dyDescent="0.2">
      <c r="A251" s="22" t="s">
        <v>44</v>
      </c>
      <c r="B251" s="23">
        <v>46174</v>
      </c>
      <c r="C251" s="22" t="s">
        <v>11</v>
      </c>
      <c r="D251" s="22" t="s">
        <v>17</v>
      </c>
      <c r="E251" s="22" t="s">
        <v>14</v>
      </c>
      <c r="F251" s="22" t="s">
        <v>13</v>
      </c>
      <c r="G251" s="24">
        <v>0.71527777777777779</v>
      </c>
      <c r="H251" s="24">
        <f t="shared" si="18"/>
        <v>0.73958333333333337</v>
      </c>
      <c r="I251" s="8">
        <f t="shared" si="19"/>
        <v>2.430555555555558E-2</v>
      </c>
      <c r="J251" s="24">
        <v>0.70833333333333337</v>
      </c>
      <c r="K251" s="24">
        <v>0.71736111111111112</v>
      </c>
      <c r="L251" s="24">
        <f t="shared" si="16"/>
        <v>9.0277777777777457E-3</v>
      </c>
      <c r="M251" s="24">
        <v>0.74444444444444446</v>
      </c>
      <c r="N251" s="8">
        <f>+M251-K251</f>
        <v>2.7083333333333348E-2</v>
      </c>
      <c r="O251" s="24">
        <f t="shared" si="17"/>
        <v>3.6111111111111094E-2</v>
      </c>
      <c r="P251" s="22">
        <v>6</v>
      </c>
      <c r="Q251" s="25" t="s">
        <v>48</v>
      </c>
      <c r="R251" s="22" t="str">
        <f>IF(COUNTIF(fest!$A$1:$A$18,B251)&gt;0,"FESTIVO", IF(OR(WEEKDAY(B251,2)=6,WEEKDAY(B251,2)=7),"NO HÁBIL","HÁBIL"))</f>
        <v>HÁBIL</v>
      </c>
    </row>
    <row r="252" spans="1:18" ht="15.75" customHeight="1" x14ac:dyDescent="0.2">
      <c r="A252" s="22" t="s">
        <v>44</v>
      </c>
      <c r="B252" s="23">
        <v>46174</v>
      </c>
      <c r="C252" s="22" t="s">
        <v>15</v>
      </c>
      <c r="D252" s="22" t="s">
        <v>17</v>
      </c>
      <c r="E252" s="22" t="s">
        <v>14</v>
      </c>
      <c r="F252" s="22" t="s">
        <v>13</v>
      </c>
      <c r="G252" s="24">
        <v>0.73958333333333337</v>
      </c>
      <c r="H252" s="24">
        <f t="shared" si="18"/>
        <v>0.76388888888888884</v>
      </c>
      <c r="I252" s="8">
        <f t="shared" si="19"/>
        <v>2.4305555555555469E-2</v>
      </c>
      <c r="J252" s="24">
        <v>0.74444444444444446</v>
      </c>
      <c r="K252" s="24">
        <v>0.74722222222222223</v>
      </c>
      <c r="L252" s="24">
        <f t="shared" si="16"/>
        <v>2.7777777777777679E-3</v>
      </c>
      <c r="M252" s="24">
        <v>0.76041666666666663</v>
      </c>
      <c r="N252" s="8">
        <f>+M252-K252</f>
        <v>1.3194444444444398E-2</v>
      </c>
      <c r="O252" s="24">
        <f t="shared" si="17"/>
        <v>1.5972222222222165E-2</v>
      </c>
      <c r="P252" s="22">
        <v>1</v>
      </c>
      <c r="Q252" s="25" t="s">
        <v>49</v>
      </c>
      <c r="R252" s="22" t="str">
        <f>IF(COUNTIF(fest!$A$1:$A$18,B252)&gt;0,"FESTIVO", IF(OR(WEEKDAY(B252,2)=6,WEEKDAY(B252,2)=7),"NO HÁBIL","HÁBIL"))</f>
        <v>HÁBIL</v>
      </c>
    </row>
    <row r="253" spans="1:18" ht="15.75" customHeight="1" x14ac:dyDescent="0.2">
      <c r="A253" s="22" t="s">
        <v>44</v>
      </c>
      <c r="B253" s="23">
        <v>46174</v>
      </c>
      <c r="C253" s="22" t="s">
        <v>16</v>
      </c>
      <c r="D253" s="22" t="s">
        <v>17</v>
      </c>
      <c r="E253" s="22" t="s">
        <v>14</v>
      </c>
      <c r="F253" s="22" t="s">
        <v>13</v>
      </c>
      <c r="G253" s="24">
        <v>0.76388888888888884</v>
      </c>
      <c r="H253" s="24">
        <f t="shared" si="18"/>
        <v>0.27083333333333331</v>
      </c>
      <c r="I253" s="8">
        <f t="shared" si="19"/>
        <v>-0.49305555555555552</v>
      </c>
      <c r="J253" s="24">
        <v>0.76041666666666663</v>
      </c>
      <c r="K253" s="24">
        <v>0.76597222222222228</v>
      </c>
      <c r="L253" s="24">
        <f t="shared" si="16"/>
        <v>5.5555555555556468E-3</v>
      </c>
      <c r="M253" s="24">
        <f>+K253+N253</f>
        <v>0.7861111111111112</v>
      </c>
      <c r="N253" s="8">
        <f>AVERAGE(N251:N252)</f>
        <v>2.0138888888888873E-2</v>
      </c>
      <c r="O253" s="24">
        <f t="shared" si="17"/>
        <v>2.569444444444452E-2</v>
      </c>
      <c r="P253" s="22">
        <v>5</v>
      </c>
      <c r="Q253" s="25" t="s">
        <v>48</v>
      </c>
      <c r="R253" s="22" t="str">
        <f>IF(COUNTIF(fest!$A$1:$A$18,B253)&gt;0,"FESTIVO", IF(OR(WEEKDAY(B253,2)=6,WEEKDAY(B253,2)=7),"NO HÁBIL","HÁBIL"))</f>
        <v>HÁBIL</v>
      </c>
    </row>
    <row r="254" spans="1:18" ht="15.75" customHeight="1" x14ac:dyDescent="0.2">
      <c r="A254" s="22" t="s">
        <v>43</v>
      </c>
      <c r="B254" s="23">
        <v>46175</v>
      </c>
      <c r="C254" s="22" t="s">
        <v>11</v>
      </c>
      <c r="D254" s="22" t="s">
        <v>12</v>
      </c>
      <c r="E254" s="22" t="s">
        <v>13</v>
      </c>
      <c r="F254" s="22" t="s">
        <v>14</v>
      </c>
      <c r="G254" s="24">
        <v>0.27083333333333331</v>
      </c>
      <c r="H254" s="24">
        <f t="shared" si="18"/>
        <v>0.29166666666666669</v>
      </c>
      <c r="I254" s="8">
        <f t="shared" si="19"/>
        <v>2.083333333333337E-2</v>
      </c>
      <c r="J254" s="24">
        <v>0.26458333333333334</v>
      </c>
      <c r="K254" s="24">
        <v>0.27291666666666664</v>
      </c>
      <c r="L254" s="24">
        <f t="shared" si="16"/>
        <v>8.3333333333333037E-3</v>
      </c>
      <c r="M254" s="24">
        <v>0.28819444444444442</v>
      </c>
      <c r="N254" s="8">
        <f>+M254-K254</f>
        <v>1.5277777777777779E-2</v>
      </c>
      <c r="O254" s="24">
        <f t="shared" si="17"/>
        <v>2.3611111111111083E-2</v>
      </c>
      <c r="P254" s="22">
        <v>2</v>
      </c>
      <c r="Q254" s="25" t="s">
        <v>51</v>
      </c>
      <c r="R254" s="22" t="str">
        <f>IF(COUNTIF(fest!$A$1:$A$18,B254)&gt;0,"FESTIVO", IF(OR(WEEKDAY(B254,2)=6,WEEKDAY(B254,2)=7),"NO HÁBIL","HÁBIL"))</f>
        <v>HÁBIL</v>
      </c>
    </row>
    <row r="255" spans="1:18" ht="15.75" customHeight="1" x14ac:dyDescent="0.2">
      <c r="A255" s="22" t="s">
        <v>43</v>
      </c>
      <c r="B255" s="23">
        <v>46175</v>
      </c>
      <c r="C255" s="22" t="s">
        <v>15</v>
      </c>
      <c r="D255" s="22" t="s">
        <v>12</v>
      </c>
      <c r="E255" s="22" t="s">
        <v>13</v>
      </c>
      <c r="F255" s="22" t="s">
        <v>14</v>
      </c>
      <c r="G255" s="24">
        <v>0.29166666666666669</v>
      </c>
      <c r="H255" s="24">
        <f t="shared" si="18"/>
        <v>0.3125</v>
      </c>
      <c r="I255" s="8">
        <f t="shared" si="19"/>
        <v>2.0833333333333315E-2</v>
      </c>
      <c r="J255" s="24">
        <v>0.28819444444444442</v>
      </c>
      <c r="K255" s="24">
        <v>0.29444444444444445</v>
      </c>
      <c r="L255" s="24">
        <f t="shared" si="16"/>
        <v>6.2500000000000333E-3</v>
      </c>
      <c r="M255" s="24">
        <v>0.31041666666666667</v>
      </c>
      <c r="N255" s="8">
        <f>+M255-K255</f>
        <v>1.5972222222222221E-2</v>
      </c>
      <c r="O255" s="24">
        <f t="shared" si="17"/>
        <v>2.2222222222222254E-2</v>
      </c>
      <c r="P255" s="22">
        <v>1</v>
      </c>
      <c r="Q255" s="25" t="s">
        <v>51</v>
      </c>
      <c r="R255" s="22" t="str">
        <f>IF(COUNTIF(fest!$A$1:$A$18,B255)&gt;0,"FESTIVO", IF(OR(WEEKDAY(B255,2)=6,WEEKDAY(B255,2)=7),"NO HÁBIL","HÁBIL"))</f>
        <v>HÁBIL</v>
      </c>
    </row>
    <row r="256" spans="1:18" ht="15.75" customHeight="1" x14ac:dyDescent="0.2">
      <c r="A256" s="22" t="s">
        <v>43</v>
      </c>
      <c r="B256" s="23">
        <v>46175</v>
      </c>
      <c r="C256" s="22" t="s">
        <v>16</v>
      </c>
      <c r="D256" s="22" t="s">
        <v>12</v>
      </c>
      <c r="E256" s="22" t="s">
        <v>13</v>
      </c>
      <c r="F256" s="22" t="s">
        <v>14</v>
      </c>
      <c r="G256" s="24">
        <v>0.3125</v>
      </c>
      <c r="H256" s="24">
        <f t="shared" si="18"/>
        <v>0.71527777777777779</v>
      </c>
      <c r="I256" s="8">
        <f t="shared" si="19"/>
        <v>0.40277777777777779</v>
      </c>
      <c r="J256" s="24">
        <v>0.31041666666666667</v>
      </c>
      <c r="K256" s="24">
        <v>0.31527777777777777</v>
      </c>
      <c r="L256" s="24">
        <f t="shared" si="16"/>
        <v>4.8611111111110938E-3</v>
      </c>
      <c r="M256" s="24">
        <f>+K256+N256</f>
        <v>0.33090277777777777</v>
      </c>
      <c r="N256" s="8">
        <f>AVERAGE(N254:N255)</f>
        <v>1.5625E-2</v>
      </c>
      <c r="O256" s="24">
        <f t="shared" si="17"/>
        <v>2.0486111111111094E-2</v>
      </c>
      <c r="P256" s="22">
        <v>1</v>
      </c>
      <c r="Q256" s="25" t="s">
        <v>51</v>
      </c>
      <c r="R256" s="22" t="str">
        <f>IF(COUNTIF(fest!$A$1:$A$18,B256)&gt;0,"FESTIVO", IF(OR(WEEKDAY(B256,2)=6,WEEKDAY(B256,2)=7),"NO HÁBIL","HÁBIL"))</f>
        <v>HÁBIL</v>
      </c>
    </row>
    <row r="257" spans="1:18" ht="15.75" customHeight="1" x14ac:dyDescent="0.2">
      <c r="A257" s="22" t="s">
        <v>44</v>
      </c>
      <c r="B257" s="23">
        <v>46175</v>
      </c>
      <c r="C257" s="22" t="s">
        <v>11</v>
      </c>
      <c r="D257" s="22" t="s">
        <v>17</v>
      </c>
      <c r="E257" s="22" t="s">
        <v>14</v>
      </c>
      <c r="F257" s="22" t="s">
        <v>13</v>
      </c>
      <c r="G257" s="24">
        <v>0.71527777777777779</v>
      </c>
      <c r="H257" s="24">
        <f t="shared" si="18"/>
        <v>0.73958333333333337</v>
      </c>
      <c r="I257" s="8">
        <f t="shared" si="19"/>
        <v>2.430555555555558E-2</v>
      </c>
      <c r="J257" s="24">
        <v>0.70902777777777781</v>
      </c>
      <c r="K257" s="24">
        <v>0.71736111111111112</v>
      </c>
      <c r="L257" s="24">
        <f t="shared" si="16"/>
        <v>8.3333333333333037E-3</v>
      </c>
      <c r="M257" s="24">
        <v>0.73819444444444449</v>
      </c>
      <c r="N257" s="8">
        <f>+M257-K257</f>
        <v>2.083333333333337E-2</v>
      </c>
      <c r="O257" s="24">
        <f t="shared" si="17"/>
        <v>2.9166666666666674E-2</v>
      </c>
      <c r="P257" s="22">
        <v>4</v>
      </c>
      <c r="Q257" s="25" t="s">
        <v>49</v>
      </c>
      <c r="R257" s="22" t="str">
        <f>IF(COUNTIF(fest!$A$1:$A$18,B257)&gt;0,"FESTIVO", IF(OR(WEEKDAY(B257,2)=6,WEEKDAY(B257,2)=7),"NO HÁBIL","HÁBIL"))</f>
        <v>HÁBIL</v>
      </c>
    </row>
    <row r="258" spans="1:18" ht="15.75" customHeight="1" x14ac:dyDescent="0.2">
      <c r="A258" s="22" t="s">
        <v>44</v>
      </c>
      <c r="B258" s="23">
        <v>46175</v>
      </c>
      <c r="C258" s="22" t="s">
        <v>15</v>
      </c>
      <c r="D258" s="22" t="s">
        <v>17</v>
      </c>
      <c r="E258" s="22" t="s">
        <v>14</v>
      </c>
      <c r="F258" s="22" t="s">
        <v>13</v>
      </c>
      <c r="G258" s="24">
        <v>0.73958333333333337</v>
      </c>
      <c r="H258" s="24">
        <f t="shared" si="18"/>
        <v>0.76388888888888884</v>
      </c>
      <c r="I258" s="8">
        <f t="shared" si="19"/>
        <v>2.4305555555555469E-2</v>
      </c>
      <c r="J258" s="24">
        <v>0.73819444444444449</v>
      </c>
      <c r="K258" s="24">
        <v>0.74236111111111114</v>
      </c>
      <c r="L258" s="24">
        <f t="shared" ref="L258:L315" si="20">+K258-J258</f>
        <v>4.1666666666666519E-3</v>
      </c>
      <c r="M258" s="24">
        <v>0.76111111111111107</v>
      </c>
      <c r="N258" s="8">
        <f>+M258-K258</f>
        <v>1.8749999999999933E-2</v>
      </c>
      <c r="O258" s="24">
        <f t="shared" ref="O258:O315" si="21">+L258+N258</f>
        <v>2.2916666666666585E-2</v>
      </c>
      <c r="P258" s="22">
        <v>1</v>
      </c>
      <c r="Q258" s="25" t="s">
        <v>47</v>
      </c>
      <c r="R258" s="22" t="str">
        <f>IF(COUNTIF(fest!$A$1:$A$18,B258)&gt;0,"FESTIVO", IF(OR(WEEKDAY(B258,2)=6,WEEKDAY(B258,2)=7),"NO HÁBIL","HÁBIL"))</f>
        <v>HÁBIL</v>
      </c>
    </row>
    <row r="259" spans="1:18" ht="15.75" customHeight="1" x14ac:dyDescent="0.2">
      <c r="A259" s="22" t="s">
        <v>44</v>
      </c>
      <c r="B259" s="23">
        <v>46175</v>
      </c>
      <c r="C259" s="22" t="s">
        <v>16</v>
      </c>
      <c r="D259" s="22" t="s">
        <v>17</v>
      </c>
      <c r="E259" s="22" t="s">
        <v>14</v>
      </c>
      <c r="F259" s="22" t="s">
        <v>13</v>
      </c>
      <c r="G259" s="24">
        <v>0.76388888888888884</v>
      </c>
      <c r="H259" s="24">
        <f t="shared" ref="H259:H322" si="22">+G259+I259</f>
        <v>0.27083333333333331</v>
      </c>
      <c r="I259" s="8">
        <f t="shared" ref="I259:I322" si="23">+G260-G259</f>
        <v>-0.49305555555555552</v>
      </c>
      <c r="J259" s="24">
        <v>0.76111111111111107</v>
      </c>
      <c r="K259" s="24">
        <v>0.76597222222222228</v>
      </c>
      <c r="L259" s="24">
        <f t="shared" si="20"/>
        <v>4.8611111111112049E-3</v>
      </c>
      <c r="M259" s="24">
        <f>+K259+N259</f>
        <v>0.78576388888888893</v>
      </c>
      <c r="N259" s="8">
        <f>AVERAGE(N257:N258)</f>
        <v>1.9791666666666652E-2</v>
      </c>
      <c r="O259" s="24">
        <f t="shared" si="21"/>
        <v>2.4652777777777857E-2</v>
      </c>
      <c r="P259" s="22">
        <v>2</v>
      </c>
      <c r="Q259" s="25" t="s">
        <v>49</v>
      </c>
      <c r="R259" s="22" t="str">
        <f>IF(COUNTIF(fest!$A$1:$A$18,B259)&gt;0,"FESTIVO", IF(OR(WEEKDAY(B259,2)=6,WEEKDAY(B259,2)=7),"NO HÁBIL","HÁBIL"))</f>
        <v>HÁBIL</v>
      </c>
    </row>
    <row r="260" spans="1:18" ht="15.75" customHeight="1" x14ac:dyDescent="0.2">
      <c r="A260" s="22" t="s">
        <v>43</v>
      </c>
      <c r="B260" s="23">
        <v>46176</v>
      </c>
      <c r="C260" s="22" t="s">
        <v>11</v>
      </c>
      <c r="D260" s="22" t="s">
        <v>12</v>
      </c>
      <c r="E260" s="22" t="s">
        <v>13</v>
      </c>
      <c r="F260" s="22" t="s">
        <v>14</v>
      </c>
      <c r="G260" s="24">
        <v>0.27083333333333331</v>
      </c>
      <c r="H260" s="24">
        <f t="shared" si="22"/>
        <v>0.29166666666666669</v>
      </c>
      <c r="I260" s="8">
        <f t="shared" si="23"/>
        <v>2.083333333333337E-2</v>
      </c>
      <c r="J260" s="24">
        <v>0.2638888888888889</v>
      </c>
      <c r="K260" s="24">
        <v>0.27291666666666664</v>
      </c>
      <c r="L260" s="24">
        <f t="shared" si="20"/>
        <v>9.0277777777777457E-3</v>
      </c>
      <c r="M260" s="24">
        <v>0.28819444444444442</v>
      </c>
      <c r="N260" s="8">
        <f>+M260-K260</f>
        <v>1.5277777777777779E-2</v>
      </c>
      <c r="O260" s="24">
        <f t="shared" si="21"/>
        <v>2.4305555555555525E-2</v>
      </c>
      <c r="P260" s="22">
        <v>2</v>
      </c>
      <c r="Q260" s="25" t="s">
        <v>51</v>
      </c>
      <c r="R260" s="22" t="str">
        <f>IF(COUNTIF(fest!$A$1:$A$18,B260)&gt;0,"FESTIVO", IF(OR(WEEKDAY(B260,2)=6,WEEKDAY(B260,2)=7),"NO HÁBIL","HÁBIL"))</f>
        <v>HÁBIL</v>
      </c>
    </row>
    <row r="261" spans="1:18" ht="15.75" customHeight="1" x14ac:dyDescent="0.2">
      <c r="A261" s="22" t="s">
        <v>43</v>
      </c>
      <c r="B261" s="23">
        <v>46176</v>
      </c>
      <c r="C261" s="22" t="s">
        <v>15</v>
      </c>
      <c r="D261" s="22" t="s">
        <v>12</v>
      </c>
      <c r="E261" s="22" t="s">
        <v>13</v>
      </c>
      <c r="F261" s="22" t="s">
        <v>14</v>
      </c>
      <c r="G261" s="24">
        <v>0.29166666666666669</v>
      </c>
      <c r="H261" s="24">
        <f t="shared" si="22"/>
        <v>0.3125</v>
      </c>
      <c r="I261" s="8">
        <f t="shared" si="23"/>
        <v>2.0833333333333315E-2</v>
      </c>
      <c r="J261" s="24">
        <v>0.28819444444444442</v>
      </c>
      <c r="K261" s="24">
        <v>0.29444444444444445</v>
      </c>
      <c r="L261" s="24">
        <f t="shared" si="20"/>
        <v>6.2500000000000333E-3</v>
      </c>
      <c r="M261" s="24">
        <v>0.31180555555555556</v>
      </c>
      <c r="N261" s="8">
        <f>+M261-K261</f>
        <v>1.7361111111111105E-2</v>
      </c>
      <c r="O261" s="24">
        <f t="shared" si="21"/>
        <v>2.3611111111111138E-2</v>
      </c>
      <c r="P261" s="22">
        <v>3</v>
      </c>
      <c r="Q261" s="25" t="s">
        <v>51</v>
      </c>
      <c r="R261" s="22" t="str">
        <f>IF(COUNTIF(fest!$A$1:$A$18,B261)&gt;0,"FESTIVO", IF(OR(WEEKDAY(B261,2)=6,WEEKDAY(B261,2)=7),"NO HÁBIL","HÁBIL"))</f>
        <v>HÁBIL</v>
      </c>
    </row>
    <row r="262" spans="1:18" ht="15.75" customHeight="1" x14ac:dyDescent="0.2">
      <c r="A262" s="22" t="s">
        <v>43</v>
      </c>
      <c r="B262" s="23">
        <v>46176</v>
      </c>
      <c r="C262" s="22" t="s">
        <v>16</v>
      </c>
      <c r="D262" s="22" t="s">
        <v>12</v>
      </c>
      <c r="E262" s="22" t="s">
        <v>13</v>
      </c>
      <c r="F262" s="22" t="s">
        <v>14</v>
      </c>
      <c r="G262" s="24">
        <v>0.3125</v>
      </c>
      <c r="H262" s="24">
        <f t="shared" si="22"/>
        <v>0.71527777777777779</v>
      </c>
      <c r="I262" s="8">
        <f t="shared" si="23"/>
        <v>0.40277777777777779</v>
      </c>
      <c r="J262" s="24">
        <v>0.31180555555555556</v>
      </c>
      <c r="K262" s="24">
        <v>0.32013888888888886</v>
      </c>
      <c r="L262" s="24">
        <f t="shared" si="20"/>
        <v>8.3333333333333037E-3</v>
      </c>
      <c r="M262" s="24">
        <f>+K262+N262</f>
        <v>0.3364583333333333</v>
      </c>
      <c r="N262" s="8">
        <f>AVERAGE(N260:N261)</f>
        <v>1.6319444444444442E-2</v>
      </c>
      <c r="O262" s="24">
        <f t="shared" si="21"/>
        <v>2.4652777777777746E-2</v>
      </c>
      <c r="P262" s="22">
        <v>0</v>
      </c>
      <c r="Q262" s="25" t="s">
        <v>51</v>
      </c>
      <c r="R262" s="22" t="str">
        <f>IF(COUNTIF(fest!$A$1:$A$18,B262)&gt;0,"FESTIVO", IF(OR(WEEKDAY(B262,2)=6,WEEKDAY(B262,2)=7),"NO HÁBIL","HÁBIL"))</f>
        <v>HÁBIL</v>
      </c>
    </row>
    <row r="263" spans="1:18" ht="15.75" customHeight="1" x14ac:dyDescent="0.2">
      <c r="A263" s="22" t="s">
        <v>44</v>
      </c>
      <c r="B263" s="23">
        <v>46176</v>
      </c>
      <c r="C263" s="22" t="s">
        <v>11</v>
      </c>
      <c r="D263" s="22" t="s">
        <v>17</v>
      </c>
      <c r="E263" s="22" t="s">
        <v>14</v>
      </c>
      <c r="F263" s="22" t="s">
        <v>13</v>
      </c>
      <c r="G263" s="24">
        <v>0.71527777777777779</v>
      </c>
      <c r="H263" s="24">
        <f t="shared" si="22"/>
        <v>0.73958333333333337</v>
      </c>
      <c r="I263" s="8">
        <f t="shared" si="23"/>
        <v>2.430555555555558E-2</v>
      </c>
      <c r="J263" s="24">
        <v>0.70833333333333337</v>
      </c>
      <c r="K263" s="24">
        <v>0.71736111111111112</v>
      </c>
      <c r="L263" s="24">
        <f t="shared" si="20"/>
        <v>9.0277777777777457E-3</v>
      </c>
      <c r="M263" s="24">
        <v>0.74375000000000002</v>
      </c>
      <c r="N263" s="8">
        <f>+M263-K263</f>
        <v>2.6388888888888906E-2</v>
      </c>
      <c r="O263" s="24">
        <f t="shared" si="21"/>
        <v>3.5416666666666652E-2</v>
      </c>
      <c r="P263" s="22">
        <v>7</v>
      </c>
      <c r="Q263" s="25" t="s">
        <v>48</v>
      </c>
      <c r="R263" s="22" t="str">
        <f>IF(COUNTIF(fest!$A$1:$A$18,B263)&gt;0,"FESTIVO", IF(OR(WEEKDAY(B263,2)=6,WEEKDAY(B263,2)=7),"NO HÁBIL","HÁBIL"))</f>
        <v>HÁBIL</v>
      </c>
    </row>
    <row r="264" spans="1:18" ht="15.75" customHeight="1" x14ac:dyDescent="0.2">
      <c r="A264" s="22" t="s">
        <v>44</v>
      </c>
      <c r="B264" s="23">
        <v>46176</v>
      </c>
      <c r="C264" s="22" t="s">
        <v>15</v>
      </c>
      <c r="D264" s="22" t="s">
        <v>17</v>
      </c>
      <c r="E264" s="22" t="s">
        <v>14</v>
      </c>
      <c r="F264" s="22" t="s">
        <v>13</v>
      </c>
      <c r="G264" s="24">
        <v>0.73958333333333337</v>
      </c>
      <c r="H264" s="24">
        <f t="shared" si="22"/>
        <v>0.76388888888888884</v>
      </c>
      <c r="I264" s="8">
        <f t="shared" si="23"/>
        <v>2.4305555555555469E-2</v>
      </c>
      <c r="J264" s="24">
        <v>0.74375000000000002</v>
      </c>
      <c r="K264" s="24">
        <v>0.75</v>
      </c>
      <c r="L264" s="24">
        <f t="shared" si="20"/>
        <v>6.2499999999999778E-3</v>
      </c>
      <c r="M264" s="24">
        <v>0.76180555555555551</v>
      </c>
      <c r="N264" s="8">
        <f>+M264-K264</f>
        <v>1.1805555555555514E-2</v>
      </c>
      <c r="O264" s="24">
        <f t="shared" si="21"/>
        <v>1.8055555555555491E-2</v>
      </c>
      <c r="P264" s="22">
        <v>0</v>
      </c>
      <c r="Q264" s="25" t="s">
        <v>45</v>
      </c>
      <c r="R264" s="22" t="str">
        <f>IF(COUNTIF(fest!$A$1:$A$18,B264)&gt;0,"FESTIVO", IF(OR(WEEKDAY(B264,2)=6,WEEKDAY(B264,2)=7),"NO HÁBIL","HÁBIL"))</f>
        <v>HÁBIL</v>
      </c>
    </row>
    <row r="265" spans="1:18" ht="15.75" customHeight="1" x14ac:dyDescent="0.2">
      <c r="A265" s="22" t="s">
        <v>44</v>
      </c>
      <c r="B265" s="23">
        <v>46176</v>
      </c>
      <c r="C265" s="22" t="s">
        <v>16</v>
      </c>
      <c r="D265" s="22" t="s">
        <v>17</v>
      </c>
      <c r="E265" s="22" t="s">
        <v>14</v>
      </c>
      <c r="F265" s="22" t="s">
        <v>13</v>
      </c>
      <c r="G265" s="24">
        <v>0.76388888888888884</v>
      </c>
      <c r="H265" s="24">
        <f t="shared" si="22"/>
        <v>0.27083333333333331</v>
      </c>
      <c r="I265" s="8">
        <f t="shared" si="23"/>
        <v>-0.49305555555555552</v>
      </c>
      <c r="J265" s="24">
        <v>0.76180555555555551</v>
      </c>
      <c r="K265" s="24">
        <v>0.76597222222222228</v>
      </c>
      <c r="L265" s="24">
        <f t="shared" si="20"/>
        <v>4.1666666666667629E-3</v>
      </c>
      <c r="M265" s="24">
        <f>+K265+N265</f>
        <v>0.78506944444444449</v>
      </c>
      <c r="N265" s="8">
        <f>AVERAGE(N263:N264)</f>
        <v>1.909722222222221E-2</v>
      </c>
      <c r="O265" s="24">
        <f t="shared" si="21"/>
        <v>2.3263888888888973E-2</v>
      </c>
      <c r="P265" s="22">
        <v>5</v>
      </c>
      <c r="Q265" s="25" t="s">
        <v>48</v>
      </c>
      <c r="R265" s="22" t="str">
        <f>IF(COUNTIF(fest!$A$1:$A$18,B265)&gt;0,"FESTIVO", IF(OR(WEEKDAY(B265,2)=6,WEEKDAY(B265,2)=7),"NO HÁBIL","HÁBIL"))</f>
        <v>HÁBIL</v>
      </c>
    </row>
    <row r="266" spans="1:18" ht="15.75" customHeight="1" x14ac:dyDescent="0.2">
      <c r="A266" s="22" t="s">
        <v>43</v>
      </c>
      <c r="B266" s="23">
        <v>46177</v>
      </c>
      <c r="C266" s="22" t="s">
        <v>11</v>
      </c>
      <c r="D266" s="22" t="s">
        <v>12</v>
      </c>
      <c r="E266" s="22" t="s">
        <v>13</v>
      </c>
      <c r="F266" s="22" t="s">
        <v>14</v>
      </c>
      <c r="G266" s="24">
        <v>0.27083333333333331</v>
      </c>
      <c r="H266" s="24">
        <f t="shared" si="22"/>
        <v>0.29166666666666669</v>
      </c>
      <c r="I266" s="8">
        <f t="shared" si="23"/>
        <v>2.083333333333337E-2</v>
      </c>
      <c r="J266" s="24">
        <v>0.2638888888888889</v>
      </c>
      <c r="K266" s="24">
        <v>0.27291666666666664</v>
      </c>
      <c r="L266" s="24">
        <f t="shared" si="20"/>
        <v>9.0277777777777457E-3</v>
      </c>
      <c r="M266" s="24">
        <v>0.28749999999999998</v>
      </c>
      <c r="N266" s="8">
        <f>+M266-K266</f>
        <v>1.4583333333333337E-2</v>
      </c>
      <c r="O266" s="24">
        <f t="shared" si="21"/>
        <v>2.3611111111111083E-2</v>
      </c>
      <c r="P266" s="22">
        <v>5</v>
      </c>
      <c r="Q266" s="25" t="s">
        <v>51</v>
      </c>
      <c r="R266" s="22" t="str">
        <f>IF(COUNTIF(fest!$A$1:$A$18,B266)&gt;0,"FESTIVO", IF(OR(WEEKDAY(B266,2)=6,WEEKDAY(B266,2)=7),"NO HÁBIL","HÁBIL"))</f>
        <v>HÁBIL</v>
      </c>
    </row>
    <row r="267" spans="1:18" ht="15.75" customHeight="1" x14ac:dyDescent="0.2">
      <c r="A267" s="22" t="s">
        <v>43</v>
      </c>
      <c r="B267" s="23">
        <v>46177</v>
      </c>
      <c r="C267" s="22" t="s">
        <v>15</v>
      </c>
      <c r="D267" s="22" t="s">
        <v>12</v>
      </c>
      <c r="E267" s="22" t="s">
        <v>13</v>
      </c>
      <c r="F267" s="22" t="s">
        <v>14</v>
      </c>
      <c r="G267" s="24">
        <v>0.29166666666666669</v>
      </c>
      <c r="H267" s="24">
        <f t="shared" si="22"/>
        <v>0.3125</v>
      </c>
      <c r="I267" s="8">
        <f t="shared" si="23"/>
        <v>2.0833333333333315E-2</v>
      </c>
      <c r="J267" s="24">
        <v>0.28749999999999998</v>
      </c>
      <c r="K267" s="24">
        <v>0.29375000000000001</v>
      </c>
      <c r="L267" s="24">
        <f t="shared" si="20"/>
        <v>6.2500000000000333E-3</v>
      </c>
      <c r="M267" s="24">
        <v>0.31041666666666667</v>
      </c>
      <c r="N267" s="8">
        <f>+M267-K267</f>
        <v>1.6666666666666663E-2</v>
      </c>
      <c r="O267" s="24">
        <f t="shared" si="21"/>
        <v>2.2916666666666696E-2</v>
      </c>
      <c r="P267" s="22">
        <v>2</v>
      </c>
      <c r="Q267" s="25" t="s">
        <v>51</v>
      </c>
      <c r="R267" s="22" t="str">
        <f>IF(COUNTIF(fest!$A$1:$A$18,B267)&gt;0,"FESTIVO", IF(OR(WEEKDAY(B267,2)=6,WEEKDAY(B267,2)=7),"NO HÁBIL","HÁBIL"))</f>
        <v>HÁBIL</v>
      </c>
    </row>
    <row r="268" spans="1:18" ht="15.75" customHeight="1" x14ac:dyDescent="0.2">
      <c r="A268" s="22" t="s">
        <v>43</v>
      </c>
      <c r="B268" s="23">
        <v>46177</v>
      </c>
      <c r="C268" s="22" t="s">
        <v>16</v>
      </c>
      <c r="D268" s="22" t="s">
        <v>12</v>
      </c>
      <c r="E268" s="22" t="s">
        <v>13</v>
      </c>
      <c r="F268" s="22" t="s">
        <v>14</v>
      </c>
      <c r="G268" s="24">
        <v>0.3125</v>
      </c>
      <c r="H268" s="24">
        <f t="shared" si="22"/>
        <v>0.71527777777777779</v>
      </c>
      <c r="I268" s="8">
        <f t="shared" si="23"/>
        <v>0.40277777777777779</v>
      </c>
      <c r="J268" s="24">
        <v>0.31041666666666667</v>
      </c>
      <c r="K268" s="24">
        <v>0.31805555555555554</v>
      </c>
      <c r="L268" s="24">
        <f t="shared" si="20"/>
        <v>7.6388888888888618E-3</v>
      </c>
      <c r="M268" s="24">
        <f>+K268+N268</f>
        <v>0.33368055555555554</v>
      </c>
      <c r="N268" s="8">
        <f>AVERAGE(N266:N267)</f>
        <v>1.5625E-2</v>
      </c>
      <c r="O268" s="24">
        <f t="shared" si="21"/>
        <v>2.3263888888888862E-2</v>
      </c>
      <c r="P268" s="22">
        <v>1</v>
      </c>
      <c r="Q268" s="25" t="s">
        <v>51</v>
      </c>
      <c r="R268" s="22" t="str">
        <f>IF(COUNTIF(fest!$A$1:$A$18,B268)&gt;0,"FESTIVO", IF(OR(WEEKDAY(B268,2)=6,WEEKDAY(B268,2)=7),"NO HÁBIL","HÁBIL"))</f>
        <v>HÁBIL</v>
      </c>
    </row>
    <row r="269" spans="1:18" ht="15.75" customHeight="1" x14ac:dyDescent="0.2">
      <c r="A269" s="22" t="s">
        <v>44</v>
      </c>
      <c r="B269" s="23">
        <v>46177</v>
      </c>
      <c r="C269" s="22" t="s">
        <v>11</v>
      </c>
      <c r="D269" s="22" t="s">
        <v>17</v>
      </c>
      <c r="E269" s="22" t="s">
        <v>14</v>
      </c>
      <c r="F269" s="22" t="s">
        <v>13</v>
      </c>
      <c r="G269" s="24">
        <v>0.71527777777777779</v>
      </c>
      <c r="H269" s="24">
        <f t="shared" si="22"/>
        <v>0.73958333333333337</v>
      </c>
      <c r="I269" s="8">
        <f t="shared" si="23"/>
        <v>2.430555555555558E-2</v>
      </c>
      <c r="J269" s="24">
        <v>0.70833333333333337</v>
      </c>
      <c r="K269" s="24">
        <v>0.71736111111111112</v>
      </c>
      <c r="L269" s="24">
        <f t="shared" si="20"/>
        <v>9.0277777777777457E-3</v>
      </c>
      <c r="M269" s="24">
        <v>0.73888888888888893</v>
      </c>
      <c r="N269" s="8">
        <f>+M269-K269</f>
        <v>2.1527777777777812E-2</v>
      </c>
      <c r="O269" s="24">
        <f t="shared" si="21"/>
        <v>3.0555555555555558E-2</v>
      </c>
      <c r="P269" s="22">
        <v>7</v>
      </c>
      <c r="Q269" s="25" t="s">
        <v>48</v>
      </c>
      <c r="R269" s="22" t="str">
        <f>IF(COUNTIF(fest!$A$1:$A$18,B269)&gt;0,"FESTIVO", IF(OR(WEEKDAY(B269,2)=6,WEEKDAY(B269,2)=7),"NO HÁBIL","HÁBIL"))</f>
        <v>HÁBIL</v>
      </c>
    </row>
    <row r="270" spans="1:18" ht="15.75" customHeight="1" x14ac:dyDescent="0.2">
      <c r="A270" s="22" t="s">
        <v>44</v>
      </c>
      <c r="B270" s="23">
        <v>46177</v>
      </c>
      <c r="C270" s="22" t="s">
        <v>15</v>
      </c>
      <c r="D270" s="22" t="s">
        <v>17</v>
      </c>
      <c r="E270" s="22" t="s">
        <v>14</v>
      </c>
      <c r="F270" s="22" t="s">
        <v>13</v>
      </c>
      <c r="G270" s="24">
        <v>0.73958333333333337</v>
      </c>
      <c r="H270" s="24">
        <f t="shared" si="22"/>
        <v>0.76388888888888884</v>
      </c>
      <c r="I270" s="8">
        <f t="shared" si="23"/>
        <v>2.4305555555555469E-2</v>
      </c>
      <c r="J270" s="24">
        <v>0.73888888888888893</v>
      </c>
      <c r="K270" s="24">
        <v>0.7416666666666667</v>
      </c>
      <c r="L270" s="24">
        <f t="shared" si="20"/>
        <v>2.7777777777777679E-3</v>
      </c>
      <c r="M270" s="24">
        <v>0.76041666666666663</v>
      </c>
      <c r="N270" s="8">
        <f>+M270-K270</f>
        <v>1.8749999999999933E-2</v>
      </c>
      <c r="O270" s="24">
        <f t="shared" si="21"/>
        <v>2.1527777777777701E-2</v>
      </c>
      <c r="P270" s="22">
        <v>2</v>
      </c>
      <c r="Q270" s="25" t="s">
        <v>49</v>
      </c>
      <c r="R270" s="22" t="str">
        <f>IF(COUNTIF(fest!$A$1:$A$18,B270)&gt;0,"FESTIVO", IF(OR(WEEKDAY(B270,2)=6,WEEKDAY(B270,2)=7),"NO HÁBIL","HÁBIL"))</f>
        <v>HÁBIL</v>
      </c>
    </row>
    <row r="271" spans="1:18" ht="15.75" customHeight="1" x14ac:dyDescent="0.2">
      <c r="A271" s="22" t="s">
        <v>44</v>
      </c>
      <c r="B271" s="23">
        <v>46177</v>
      </c>
      <c r="C271" s="22" t="s">
        <v>16</v>
      </c>
      <c r="D271" s="22" t="s">
        <v>17</v>
      </c>
      <c r="E271" s="22" t="s">
        <v>14</v>
      </c>
      <c r="F271" s="22" t="s">
        <v>13</v>
      </c>
      <c r="G271" s="24">
        <v>0.76388888888888884</v>
      </c>
      <c r="H271" s="24">
        <f t="shared" si="22"/>
        <v>0.27083333333333331</v>
      </c>
      <c r="I271" s="8">
        <f t="shared" si="23"/>
        <v>-0.49305555555555552</v>
      </c>
      <c r="J271" s="24">
        <v>0.76041666666666663</v>
      </c>
      <c r="K271" s="24">
        <v>0.76597222222222228</v>
      </c>
      <c r="L271" s="24">
        <f t="shared" si="20"/>
        <v>5.5555555555556468E-3</v>
      </c>
      <c r="M271" s="24">
        <f>+K271+N271</f>
        <v>0.7861111111111112</v>
      </c>
      <c r="N271" s="8">
        <f>AVERAGE(N269:N270)</f>
        <v>2.0138888888888873E-2</v>
      </c>
      <c r="O271" s="24">
        <f t="shared" si="21"/>
        <v>2.569444444444452E-2</v>
      </c>
      <c r="P271" s="22">
        <v>4</v>
      </c>
      <c r="Q271" s="25" t="s">
        <v>48</v>
      </c>
      <c r="R271" s="22" t="str">
        <f>IF(COUNTIF(fest!$A$1:$A$18,B271)&gt;0,"FESTIVO", IF(OR(WEEKDAY(B271,2)=6,WEEKDAY(B271,2)=7),"NO HÁBIL","HÁBIL"))</f>
        <v>HÁBIL</v>
      </c>
    </row>
    <row r="272" spans="1:18" ht="15.75" customHeight="1" x14ac:dyDescent="0.2">
      <c r="A272" s="22" t="s">
        <v>43</v>
      </c>
      <c r="B272" s="23">
        <v>46178</v>
      </c>
      <c r="C272" s="22" t="s">
        <v>11</v>
      </c>
      <c r="D272" s="22" t="s">
        <v>12</v>
      </c>
      <c r="E272" s="22" t="s">
        <v>13</v>
      </c>
      <c r="F272" s="22" t="s">
        <v>14</v>
      </c>
      <c r="G272" s="24">
        <v>0.27083333333333331</v>
      </c>
      <c r="H272" s="24">
        <f t="shared" si="22"/>
        <v>0.29166666666666669</v>
      </c>
      <c r="I272" s="8">
        <f t="shared" si="23"/>
        <v>2.083333333333337E-2</v>
      </c>
      <c r="J272" s="24">
        <v>0.2638888888888889</v>
      </c>
      <c r="K272" s="24">
        <v>0.27638888888888891</v>
      </c>
      <c r="L272" s="24">
        <f t="shared" si="20"/>
        <v>1.2500000000000011E-2</v>
      </c>
      <c r="M272" s="24">
        <v>0.28819444444444442</v>
      </c>
      <c r="N272" s="8">
        <f>+M272-K272</f>
        <v>1.1805555555555514E-2</v>
      </c>
      <c r="O272" s="24">
        <f t="shared" si="21"/>
        <v>2.4305555555555525E-2</v>
      </c>
      <c r="P272" s="22">
        <v>2</v>
      </c>
      <c r="Q272" s="25" t="s">
        <v>51</v>
      </c>
      <c r="R272" s="22" t="str">
        <f>IF(COUNTIF(fest!$A$1:$A$18,B272)&gt;0,"FESTIVO", IF(OR(WEEKDAY(B272,2)=6,WEEKDAY(B272,2)=7),"NO HÁBIL","HÁBIL"))</f>
        <v>HÁBIL</v>
      </c>
    </row>
    <row r="273" spans="1:18" ht="15.75" customHeight="1" x14ac:dyDescent="0.2">
      <c r="A273" s="22" t="s">
        <v>43</v>
      </c>
      <c r="B273" s="23">
        <v>46178</v>
      </c>
      <c r="C273" s="22" t="s">
        <v>15</v>
      </c>
      <c r="D273" s="22" t="s">
        <v>12</v>
      </c>
      <c r="E273" s="22" t="s">
        <v>13</v>
      </c>
      <c r="F273" s="22" t="s">
        <v>14</v>
      </c>
      <c r="G273" s="24">
        <v>0.29166666666666669</v>
      </c>
      <c r="H273" s="24">
        <f t="shared" si="22"/>
        <v>0.3125</v>
      </c>
      <c r="I273" s="8">
        <f t="shared" si="23"/>
        <v>2.0833333333333315E-2</v>
      </c>
      <c r="J273" s="24">
        <v>0.28819444444444442</v>
      </c>
      <c r="K273" s="24">
        <v>0.29375000000000001</v>
      </c>
      <c r="L273" s="24">
        <f t="shared" si="20"/>
        <v>5.5555555555555913E-3</v>
      </c>
      <c r="M273" s="24">
        <v>0.31041666666666667</v>
      </c>
      <c r="N273" s="8">
        <f>+M273-K273</f>
        <v>1.6666666666666663E-2</v>
      </c>
      <c r="O273" s="24">
        <f t="shared" si="21"/>
        <v>2.2222222222222254E-2</v>
      </c>
      <c r="P273" s="22">
        <v>2</v>
      </c>
      <c r="Q273" s="25" t="s">
        <v>51</v>
      </c>
      <c r="R273" s="22" t="str">
        <f>IF(COUNTIF(fest!$A$1:$A$18,B273)&gt;0,"FESTIVO", IF(OR(WEEKDAY(B273,2)=6,WEEKDAY(B273,2)=7),"NO HÁBIL","HÁBIL"))</f>
        <v>HÁBIL</v>
      </c>
    </row>
    <row r="274" spans="1:18" ht="15.75" customHeight="1" x14ac:dyDescent="0.2">
      <c r="A274" s="22" t="s">
        <v>43</v>
      </c>
      <c r="B274" s="23">
        <v>46178</v>
      </c>
      <c r="C274" s="22" t="s">
        <v>16</v>
      </c>
      <c r="D274" s="22" t="s">
        <v>12</v>
      </c>
      <c r="E274" s="22" t="s">
        <v>13</v>
      </c>
      <c r="F274" s="22" t="s">
        <v>14</v>
      </c>
      <c r="G274" s="24">
        <v>0.3125</v>
      </c>
      <c r="H274" s="24">
        <f t="shared" si="22"/>
        <v>0.71527777777777779</v>
      </c>
      <c r="I274" s="8">
        <f t="shared" si="23"/>
        <v>0.40277777777777779</v>
      </c>
      <c r="J274" s="24">
        <v>0.31041666666666667</v>
      </c>
      <c r="K274" s="24">
        <v>0.32083333333333336</v>
      </c>
      <c r="L274" s="24">
        <f t="shared" si="20"/>
        <v>1.0416666666666685E-2</v>
      </c>
      <c r="M274" s="24">
        <f>+K274+N274</f>
        <v>0.33506944444444442</v>
      </c>
      <c r="N274" s="8">
        <f>AVERAGE(N272:N273)</f>
        <v>1.4236111111111088E-2</v>
      </c>
      <c r="O274" s="24">
        <f t="shared" si="21"/>
        <v>2.4652777777777773E-2</v>
      </c>
      <c r="P274" s="22">
        <v>1</v>
      </c>
      <c r="Q274" s="25" t="s">
        <v>51</v>
      </c>
      <c r="R274" s="22" t="str">
        <f>IF(COUNTIF(fest!$A$1:$A$18,B274)&gt;0,"FESTIVO", IF(OR(WEEKDAY(B274,2)=6,WEEKDAY(B274,2)=7),"NO HÁBIL","HÁBIL"))</f>
        <v>HÁBIL</v>
      </c>
    </row>
    <row r="275" spans="1:18" ht="15.75" customHeight="1" x14ac:dyDescent="0.2">
      <c r="A275" s="22" t="s">
        <v>44</v>
      </c>
      <c r="B275" s="23">
        <v>46178</v>
      </c>
      <c r="C275" s="22" t="s">
        <v>11</v>
      </c>
      <c r="D275" s="22" t="s">
        <v>17</v>
      </c>
      <c r="E275" s="22" t="s">
        <v>14</v>
      </c>
      <c r="F275" s="22" t="s">
        <v>13</v>
      </c>
      <c r="G275" s="24">
        <v>0.71527777777777779</v>
      </c>
      <c r="H275" s="24">
        <f t="shared" si="22"/>
        <v>0.73958333333333337</v>
      </c>
      <c r="I275" s="8">
        <f t="shared" si="23"/>
        <v>2.430555555555558E-2</v>
      </c>
      <c r="J275" s="24">
        <v>0.66666666666666663</v>
      </c>
      <c r="K275" s="24">
        <v>0.67569444444444449</v>
      </c>
      <c r="L275" s="24">
        <f t="shared" si="20"/>
        <v>9.0277777777778567E-3</v>
      </c>
      <c r="M275" s="24">
        <v>0.69166666666666665</v>
      </c>
      <c r="N275" s="8">
        <f>+M275-K275</f>
        <v>1.5972222222222165E-2</v>
      </c>
      <c r="O275" s="24">
        <f t="shared" si="21"/>
        <v>2.5000000000000022E-2</v>
      </c>
      <c r="P275" s="22">
        <v>2</v>
      </c>
      <c r="Q275" s="25" t="s">
        <v>49</v>
      </c>
      <c r="R275" s="22" t="str">
        <f>IF(COUNTIF(fest!$A$1:$A$18,B275)&gt;0,"FESTIVO", IF(OR(WEEKDAY(B275,2)=6,WEEKDAY(B275,2)=7),"NO HÁBIL","HÁBIL"))</f>
        <v>HÁBIL</v>
      </c>
    </row>
    <row r="276" spans="1:18" ht="15.75" customHeight="1" x14ac:dyDescent="0.2">
      <c r="A276" s="22" t="s">
        <v>44</v>
      </c>
      <c r="B276" s="23">
        <v>46178</v>
      </c>
      <c r="C276" s="22" t="s">
        <v>15</v>
      </c>
      <c r="D276" s="22" t="s">
        <v>17</v>
      </c>
      <c r="E276" s="22" t="s">
        <v>14</v>
      </c>
      <c r="F276" s="22" t="s">
        <v>13</v>
      </c>
      <c r="G276" s="24">
        <v>0.73958333333333337</v>
      </c>
      <c r="H276" s="24">
        <f t="shared" si="22"/>
        <v>0.76388888888888884</v>
      </c>
      <c r="I276" s="8">
        <f t="shared" si="23"/>
        <v>2.4305555555555469E-2</v>
      </c>
      <c r="J276" s="24">
        <v>0.69166666666666665</v>
      </c>
      <c r="K276" s="24">
        <v>0.7</v>
      </c>
      <c r="L276" s="24">
        <f t="shared" si="20"/>
        <v>8.3333333333333037E-3</v>
      </c>
      <c r="M276" s="24">
        <v>0.71944444444444444</v>
      </c>
      <c r="N276" s="8">
        <f>+M276-K276</f>
        <v>1.9444444444444486E-2</v>
      </c>
      <c r="O276" s="24">
        <f t="shared" si="21"/>
        <v>2.777777777777779E-2</v>
      </c>
      <c r="P276" s="22">
        <v>1</v>
      </c>
      <c r="Q276" s="25" t="s">
        <v>49</v>
      </c>
      <c r="R276" s="22" t="str">
        <f>IF(COUNTIF(fest!$A$1:$A$18,B276)&gt;0,"FESTIVO", IF(OR(WEEKDAY(B276,2)=6,WEEKDAY(B276,2)=7),"NO HÁBIL","HÁBIL"))</f>
        <v>HÁBIL</v>
      </c>
    </row>
    <row r="277" spans="1:18" ht="15.75" customHeight="1" x14ac:dyDescent="0.2">
      <c r="A277" s="22" t="s">
        <v>44</v>
      </c>
      <c r="B277" s="23">
        <v>46178</v>
      </c>
      <c r="C277" s="22" t="s">
        <v>16</v>
      </c>
      <c r="D277" s="22" t="s">
        <v>17</v>
      </c>
      <c r="E277" s="22" t="s">
        <v>14</v>
      </c>
      <c r="F277" s="22" t="s">
        <v>13</v>
      </c>
      <c r="G277" s="24">
        <v>0.76388888888888884</v>
      </c>
      <c r="H277" s="24">
        <f t="shared" si="22"/>
        <v>0.27083333333333331</v>
      </c>
      <c r="I277" s="8">
        <f t="shared" si="23"/>
        <v>-0.49305555555555552</v>
      </c>
      <c r="J277" s="24">
        <v>0.71944444444444444</v>
      </c>
      <c r="K277" s="24">
        <v>0.72638888888888886</v>
      </c>
      <c r="L277" s="24">
        <f t="shared" si="20"/>
        <v>6.9444444444444198E-3</v>
      </c>
      <c r="M277" s="24">
        <f>+K277+N277</f>
        <v>0.74409722222222219</v>
      </c>
      <c r="N277" s="8">
        <f>AVERAGE(N275:N276)</f>
        <v>1.7708333333333326E-2</v>
      </c>
      <c r="O277" s="24">
        <f t="shared" si="21"/>
        <v>2.4652777777777746E-2</v>
      </c>
      <c r="P277" s="22">
        <v>1</v>
      </c>
      <c r="Q277" s="25" t="s">
        <v>47</v>
      </c>
      <c r="R277" s="22" t="str">
        <f>IF(COUNTIF(fest!$A$1:$A$18,B277)&gt;0,"FESTIVO", IF(OR(WEEKDAY(B277,2)=6,WEEKDAY(B277,2)=7),"NO HÁBIL","HÁBIL"))</f>
        <v>HÁBIL</v>
      </c>
    </row>
    <row r="278" spans="1:18" ht="15.75" customHeight="1" x14ac:dyDescent="0.2">
      <c r="A278" s="22" t="s">
        <v>43</v>
      </c>
      <c r="B278" s="23">
        <v>46182</v>
      </c>
      <c r="C278" s="22" t="s">
        <v>11</v>
      </c>
      <c r="D278" s="22" t="s">
        <v>12</v>
      </c>
      <c r="E278" s="22" t="s">
        <v>13</v>
      </c>
      <c r="F278" s="22" t="s">
        <v>14</v>
      </c>
      <c r="G278" s="24">
        <v>0.27083333333333331</v>
      </c>
      <c r="H278" s="24">
        <f t="shared" si="22"/>
        <v>0.29166666666666669</v>
      </c>
      <c r="I278" s="8">
        <f t="shared" si="23"/>
        <v>2.083333333333337E-2</v>
      </c>
      <c r="J278" s="24">
        <v>0.26458333333333334</v>
      </c>
      <c r="K278" s="24">
        <v>0.27361111111111114</v>
      </c>
      <c r="L278" s="24">
        <f t="shared" si="20"/>
        <v>9.0277777777778012E-3</v>
      </c>
      <c r="M278" s="24">
        <v>0.28819444444444442</v>
      </c>
      <c r="N278" s="8">
        <f>+M278-K278</f>
        <v>1.4583333333333282E-2</v>
      </c>
      <c r="O278" s="24">
        <f t="shared" si="21"/>
        <v>2.3611111111111083E-2</v>
      </c>
      <c r="P278" s="22">
        <v>3</v>
      </c>
      <c r="Q278" s="25" t="s">
        <v>51</v>
      </c>
      <c r="R278" s="22" t="str">
        <f>IF(COUNTIF(fest!$A$1:$A$18,B278)&gt;0,"FESTIVO", IF(OR(WEEKDAY(B278,2)=6,WEEKDAY(B278,2)=7),"NO HÁBIL","HÁBIL"))</f>
        <v>HÁBIL</v>
      </c>
    </row>
    <row r="279" spans="1:18" ht="15.75" customHeight="1" x14ac:dyDescent="0.2">
      <c r="A279" s="22" t="s">
        <v>43</v>
      </c>
      <c r="B279" s="23">
        <v>46182</v>
      </c>
      <c r="C279" s="22" t="s">
        <v>15</v>
      </c>
      <c r="D279" s="22" t="s">
        <v>12</v>
      </c>
      <c r="E279" s="22" t="s">
        <v>13</v>
      </c>
      <c r="F279" s="22" t="s">
        <v>14</v>
      </c>
      <c r="G279" s="24">
        <v>0.29166666666666669</v>
      </c>
      <c r="H279" s="24">
        <f t="shared" si="22"/>
        <v>0.3125</v>
      </c>
      <c r="I279" s="8">
        <f t="shared" si="23"/>
        <v>2.0833333333333315E-2</v>
      </c>
      <c r="J279" s="24">
        <v>0.28819444444444442</v>
      </c>
      <c r="K279" s="24">
        <v>0.29375000000000001</v>
      </c>
      <c r="L279" s="24">
        <f t="shared" si="20"/>
        <v>5.5555555555555913E-3</v>
      </c>
      <c r="M279" s="24">
        <v>0.30972222222222223</v>
      </c>
      <c r="N279" s="8">
        <f>+M279-K279</f>
        <v>1.5972222222222221E-2</v>
      </c>
      <c r="O279" s="24">
        <f t="shared" si="21"/>
        <v>2.1527777777777812E-2</v>
      </c>
      <c r="P279" s="22">
        <v>2</v>
      </c>
      <c r="Q279" s="25" t="s">
        <v>51</v>
      </c>
      <c r="R279" s="22" t="str">
        <f>IF(COUNTIF(fest!$A$1:$A$18,B279)&gt;0,"FESTIVO", IF(OR(WEEKDAY(B279,2)=6,WEEKDAY(B279,2)=7),"NO HÁBIL","HÁBIL"))</f>
        <v>HÁBIL</v>
      </c>
    </row>
    <row r="280" spans="1:18" ht="15.75" customHeight="1" x14ac:dyDescent="0.2">
      <c r="A280" s="22" t="s">
        <v>43</v>
      </c>
      <c r="B280" s="23">
        <v>46182</v>
      </c>
      <c r="C280" s="22" t="s">
        <v>16</v>
      </c>
      <c r="D280" s="22" t="s">
        <v>12</v>
      </c>
      <c r="E280" s="22" t="s">
        <v>13</v>
      </c>
      <c r="F280" s="22" t="s">
        <v>14</v>
      </c>
      <c r="G280" s="24">
        <v>0.3125</v>
      </c>
      <c r="H280" s="24">
        <f t="shared" si="22"/>
        <v>0.71527777777777779</v>
      </c>
      <c r="I280" s="8">
        <f t="shared" si="23"/>
        <v>0.40277777777777779</v>
      </c>
      <c r="J280" s="24">
        <v>0.30972222222222223</v>
      </c>
      <c r="K280" s="24">
        <v>0.32083333333333336</v>
      </c>
      <c r="L280" s="24">
        <f t="shared" si="20"/>
        <v>1.1111111111111127E-2</v>
      </c>
      <c r="M280" s="24">
        <f>+K280+N280</f>
        <v>0.33611111111111114</v>
      </c>
      <c r="N280" s="8">
        <f>AVERAGE(N278:N279)</f>
        <v>1.5277777777777751E-2</v>
      </c>
      <c r="O280" s="24">
        <f t="shared" si="21"/>
        <v>2.6388888888888878E-2</v>
      </c>
      <c r="P280" s="22">
        <v>0</v>
      </c>
      <c r="Q280" s="25" t="s">
        <v>51</v>
      </c>
      <c r="R280" s="22" t="str">
        <f>IF(COUNTIF(fest!$A$1:$A$18,B280)&gt;0,"FESTIVO", IF(OR(WEEKDAY(B280,2)=6,WEEKDAY(B280,2)=7),"NO HÁBIL","HÁBIL"))</f>
        <v>HÁBIL</v>
      </c>
    </row>
    <row r="281" spans="1:18" ht="15.75" customHeight="1" x14ac:dyDescent="0.2">
      <c r="A281" s="22" t="s">
        <v>44</v>
      </c>
      <c r="B281" s="23">
        <v>46182</v>
      </c>
      <c r="C281" s="22" t="s">
        <v>11</v>
      </c>
      <c r="D281" s="22" t="s">
        <v>17</v>
      </c>
      <c r="E281" s="22" t="s">
        <v>14</v>
      </c>
      <c r="F281" s="22" t="s">
        <v>13</v>
      </c>
      <c r="G281" s="24">
        <v>0.71527777777777779</v>
      </c>
      <c r="H281" s="24">
        <f t="shared" si="22"/>
        <v>0.73958333333333337</v>
      </c>
      <c r="I281" s="8">
        <f t="shared" si="23"/>
        <v>2.430555555555558E-2</v>
      </c>
      <c r="J281" s="24">
        <v>0.70833333333333337</v>
      </c>
      <c r="K281" s="24">
        <v>0.71736111111111112</v>
      </c>
      <c r="L281" s="24">
        <f t="shared" si="20"/>
        <v>9.0277777777777457E-3</v>
      </c>
      <c r="M281" s="24">
        <v>0.73888888888888893</v>
      </c>
      <c r="N281" s="8">
        <f>+M281-K281</f>
        <v>2.1527777777777812E-2</v>
      </c>
      <c r="O281" s="24">
        <f t="shared" si="21"/>
        <v>3.0555555555555558E-2</v>
      </c>
      <c r="P281" s="22">
        <v>2</v>
      </c>
      <c r="Q281" s="25" t="s">
        <v>47</v>
      </c>
      <c r="R281" s="22" t="str">
        <f>IF(COUNTIF(fest!$A$1:$A$18,B281)&gt;0,"FESTIVO", IF(OR(WEEKDAY(B281,2)=6,WEEKDAY(B281,2)=7),"NO HÁBIL","HÁBIL"))</f>
        <v>HÁBIL</v>
      </c>
    </row>
    <row r="282" spans="1:18" ht="15.75" customHeight="1" x14ac:dyDescent="0.2">
      <c r="A282" s="22" t="s">
        <v>44</v>
      </c>
      <c r="B282" s="23">
        <v>46182</v>
      </c>
      <c r="C282" s="22" t="s">
        <v>15</v>
      </c>
      <c r="D282" s="22" t="s">
        <v>17</v>
      </c>
      <c r="E282" s="22" t="s">
        <v>14</v>
      </c>
      <c r="F282" s="22" t="s">
        <v>13</v>
      </c>
      <c r="G282" s="24">
        <v>0.73958333333333337</v>
      </c>
      <c r="H282" s="24">
        <f t="shared" si="22"/>
        <v>0.76388888888888884</v>
      </c>
      <c r="I282" s="8">
        <f t="shared" si="23"/>
        <v>2.4305555555555469E-2</v>
      </c>
      <c r="J282" s="24">
        <v>0</v>
      </c>
      <c r="K282" s="24">
        <v>0</v>
      </c>
      <c r="L282" s="24">
        <f t="shared" si="20"/>
        <v>0</v>
      </c>
      <c r="M282" s="24">
        <v>0</v>
      </c>
      <c r="N282" s="8">
        <f>+M282-K282</f>
        <v>0</v>
      </c>
      <c r="O282" s="24">
        <f t="shared" si="21"/>
        <v>0</v>
      </c>
      <c r="P282" s="22">
        <v>0</v>
      </c>
      <c r="Q282" s="25" t="s">
        <v>46</v>
      </c>
      <c r="R282" s="22" t="str">
        <f>IF(COUNTIF(fest!$A$1:$A$18,B282)&gt;0,"FESTIVO", IF(OR(WEEKDAY(B282,2)=6,WEEKDAY(B282,2)=7),"NO HÁBIL","HÁBIL"))</f>
        <v>HÁBIL</v>
      </c>
    </row>
    <row r="283" spans="1:18" ht="15.75" customHeight="1" x14ac:dyDescent="0.2">
      <c r="A283" s="22" t="s">
        <v>44</v>
      </c>
      <c r="B283" s="23">
        <v>46182</v>
      </c>
      <c r="C283" s="22" t="s">
        <v>16</v>
      </c>
      <c r="D283" s="22" t="s">
        <v>17</v>
      </c>
      <c r="E283" s="22" t="s">
        <v>14</v>
      </c>
      <c r="F283" s="22" t="s">
        <v>13</v>
      </c>
      <c r="G283" s="24">
        <v>0.76388888888888884</v>
      </c>
      <c r="H283" s="24">
        <f t="shared" si="22"/>
        <v>0.27083333333333331</v>
      </c>
      <c r="I283" s="8">
        <f t="shared" si="23"/>
        <v>-0.49305555555555552</v>
      </c>
      <c r="J283" s="24">
        <v>0.75972222222222219</v>
      </c>
      <c r="K283" s="24">
        <v>0.76597222222222228</v>
      </c>
      <c r="L283" s="24">
        <f t="shared" si="20"/>
        <v>6.2500000000000888E-3</v>
      </c>
      <c r="M283" s="24">
        <f>+K283+N283</f>
        <v>0.77673611111111118</v>
      </c>
      <c r="N283" s="8">
        <f>AVERAGE(N281:N282)</f>
        <v>1.0763888888888906E-2</v>
      </c>
      <c r="O283" s="24">
        <f t="shared" si="21"/>
        <v>1.7013888888888995E-2</v>
      </c>
      <c r="P283" s="22">
        <v>4</v>
      </c>
      <c r="Q283" s="25" t="s">
        <v>48</v>
      </c>
      <c r="R283" s="22" t="str">
        <f>IF(COUNTIF(fest!$A$1:$A$18,B283)&gt;0,"FESTIVO", IF(OR(WEEKDAY(B283,2)=6,WEEKDAY(B283,2)=7),"NO HÁBIL","HÁBIL"))</f>
        <v>HÁBIL</v>
      </c>
    </row>
    <row r="284" spans="1:18" ht="15.75" customHeight="1" x14ac:dyDescent="0.2">
      <c r="A284" s="22" t="s">
        <v>43</v>
      </c>
      <c r="B284" s="23">
        <v>46183</v>
      </c>
      <c r="C284" s="22" t="s">
        <v>11</v>
      </c>
      <c r="D284" s="22" t="s">
        <v>12</v>
      </c>
      <c r="E284" s="22" t="s">
        <v>13</v>
      </c>
      <c r="F284" s="22" t="s">
        <v>14</v>
      </c>
      <c r="G284" s="24">
        <v>0.27083333333333331</v>
      </c>
      <c r="H284" s="24">
        <f t="shared" si="22"/>
        <v>0.29166666666666669</v>
      </c>
      <c r="I284" s="8">
        <f t="shared" si="23"/>
        <v>2.083333333333337E-2</v>
      </c>
      <c r="J284" s="24">
        <v>0.2638888888888889</v>
      </c>
      <c r="K284" s="24">
        <v>0.27361111111111114</v>
      </c>
      <c r="L284" s="24">
        <f t="shared" si="20"/>
        <v>9.7222222222222432E-3</v>
      </c>
      <c r="M284" s="24">
        <v>0.28819444444444442</v>
      </c>
      <c r="N284" s="8">
        <f>+M284-K284</f>
        <v>1.4583333333333282E-2</v>
      </c>
      <c r="O284" s="24">
        <f t="shared" si="21"/>
        <v>2.4305555555555525E-2</v>
      </c>
      <c r="P284" s="22">
        <v>4</v>
      </c>
      <c r="Q284" s="25" t="s">
        <v>51</v>
      </c>
      <c r="R284" s="22" t="str">
        <f>IF(COUNTIF(fest!$A$1:$A$18,B284)&gt;0,"FESTIVO", IF(OR(WEEKDAY(B284,2)=6,WEEKDAY(B284,2)=7),"NO HÁBIL","HÁBIL"))</f>
        <v>HÁBIL</v>
      </c>
    </row>
    <row r="285" spans="1:18" ht="15.75" customHeight="1" x14ac:dyDescent="0.2">
      <c r="A285" s="22" t="s">
        <v>43</v>
      </c>
      <c r="B285" s="23">
        <v>46183</v>
      </c>
      <c r="C285" s="22" t="s">
        <v>15</v>
      </c>
      <c r="D285" s="22" t="s">
        <v>12</v>
      </c>
      <c r="E285" s="22" t="s">
        <v>13</v>
      </c>
      <c r="F285" s="22" t="s">
        <v>14</v>
      </c>
      <c r="G285" s="24">
        <v>0.29166666666666669</v>
      </c>
      <c r="H285" s="24">
        <f t="shared" si="22"/>
        <v>0.3125</v>
      </c>
      <c r="I285" s="8">
        <f t="shared" si="23"/>
        <v>2.0833333333333315E-2</v>
      </c>
      <c r="J285" s="24">
        <v>0.28819444444444442</v>
      </c>
      <c r="K285" s="24">
        <v>0.29375000000000001</v>
      </c>
      <c r="L285" s="24">
        <f t="shared" si="20"/>
        <v>5.5555555555555913E-3</v>
      </c>
      <c r="M285" s="24">
        <v>0.30902777777777779</v>
      </c>
      <c r="N285" s="8">
        <f>+M285-K285</f>
        <v>1.5277777777777779E-2</v>
      </c>
      <c r="O285" s="24">
        <f t="shared" si="21"/>
        <v>2.083333333333337E-2</v>
      </c>
      <c r="P285" s="22">
        <v>2</v>
      </c>
      <c r="Q285" s="25" t="s">
        <v>51</v>
      </c>
      <c r="R285" s="22" t="str">
        <f>IF(COUNTIF(fest!$A$1:$A$18,B285)&gt;0,"FESTIVO", IF(OR(WEEKDAY(B285,2)=6,WEEKDAY(B285,2)=7),"NO HÁBIL","HÁBIL"))</f>
        <v>HÁBIL</v>
      </c>
    </row>
    <row r="286" spans="1:18" ht="15.75" customHeight="1" x14ac:dyDescent="0.2">
      <c r="A286" s="22" t="s">
        <v>43</v>
      </c>
      <c r="B286" s="23">
        <v>46183</v>
      </c>
      <c r="C286" s="22" t="s">
        <v>16</v>
      </c>
      <c r="D286" s="22" t="s">
        <v>12</v>
      </c>
      <c r="E286" s="22" t="s">
        <v>13</v>
      </c>
      <c r="F286" s="22" t="s">
        <v>14</v>
      </c>
      <c r="G286" s="24">
        <v>0.3125</v>
      </c>
      <c r="H286" s="24">
        <f t="shared" si="22"/>
        <v>0.71527777777777779</v>
      </c>
      <c r="I286" s="8">
        <f t="shared" si="23"/>
        <v>0.40277777777777779</v>
      </c>
      <c r="J286" s="24">
        <v>0.30902777777777779</v>
      </c>
      <c r="K286" s="24">
        <v>0.32083333333333336</v>
      </c>
      <c r="L286" s="24">
        <f t="shared" si="20"/>
        <v>1.1805555555555569E-2</v>
      </c>
      <c r="M286" s="24">
        <f>+K286+N286</f>
        <v>0.33576388888888886</v>
      </c>
      <c r="N286" s="8">
        <f>AVERAGE(N284:N285)</f>
        <v>1.493055555555553E-2</v>
      </c>
      <c r="O286" s="24">
        <f t="shared" si="21"/>
        <v>2.6736111111111099E-2</v>
      </c>
      <c r="P286" s="22">
        <v>0</v>
      </c>
      <c r="Q286" s="25" t="s">
        <v>51</v>
      </c>
      <c r="R286" s="22" t="str">
        <f>IF(COUNTIF(fest!$A$1:$A$18,B286)&gt;0,"FESTIVO", IF(OR(WEEKDAY(B286,2)=6,WEEKDAY(B286,2)=7),"NO HÁBIL","HÁBIL"))</f>
        <v>HÁBIL</v>
      </c>
    </row>
    <row r="287" spans="1:18" ht="15.75" customHeight="1" x14ac:dyDescent="0.2">
      <c r="A287" s="22" t="s">
        <v>44</v>
      </c>
      <c r="B287" s="23">
        <v>46183</v>
      </c>
      <c r="C287" s="22" t="s">
        <v>11</v>
      </c>
      <c r="D287" s="22" t="s">
        <v>17</v>
      </c>
      <c r="E287" s="22" t="s">
        <v>14</v>
      </c>
      <c r="F287" s="22" t="s">
        <v>13</v>
      </c>
      <c r="G287" s="24">
        <v>0.71527777777777779</v>
      </c>
      <c r="H287" s="24">
        <f t="shared" si="22"/>
        <v>0.73958333333333337</v>
      </c>
      <c r="I287" s="8">
        <f t="shared" si="23"/>
        <v>2.430555555555558E-2</v>
      </c>
      <c r="J287" s="24">
        <v>0.70833333333333337</v>
      </c>
      <c r="K287" s="24">
        <v>0.71736111111111112</v>
      </c>
      <c r="L287" s="24">
        <f t="shared" si="20"/>
        <v>9.0277777777777457E-3</v>
      </c>
      <c r="M287" s="24">
        <v>0.74097222222222225</v>
      </c>
      <c r="N287" s="8">
        <f>+M287-K287</f>
        <v>2.3611111111111138E-2</v>
      </c>
      <c r="O287" s="24">
        <f t="shared" si="21"/>
        <v>3.2638888888888884E-2</v>
      </c>
      <c r="P287" s="22">
        <v>3</v>
      </c>
      <c r="Q287" s="25" t="s">
        <v>47</v>
      </c>
      <c r="R287" s="22" t="str">
        <f>IF(COUNTIF(fest!$A$1:$A$18,B287)&gt;0,"FESTIVO", IF(OR(WEEKDAY(B287,2)=6,WEEKDAY(B287,2)=7),"NO HÁBIL","HÁBIL"))</f>
        <v>HÁBIL</v>
      </c>
    </row>
    <row r="288" spans="1:18" ht="15.75" customHeight="1" x14ac:dyDescent="0.2">
      <c r="A288" s="22" t="s">
        <v>44</v>
      </c>
      <c r="B288" s="23">
        <v>46183</v>
      </c>
      <c r="C288" s="22" t="s">
        <v>15</v>
      </c>
      <c r="D288" s="22" t="s">
        <v>17</v>
      </c>
      <c r="E288" s="22" t="s">
        <v>14</v>
      </c>
      <c r="F288" s="22" t="s">
        <v>13</v>
      </c>
      <c r="G288" s="24">
        <v>0.73958333333333337</v>
      </c>
      <c r="H288" s="24">
        <f t="shared" si="22"/>
        <v>0.76388888888888884</v>
      </c>
      <c r="I288" s="8">
        <f t="shared" si="23"/>
        <v>2.4305555555555469E-2</v>
      </c>
      <c r="J288" s="24">
        <v>0.74097222222222225</v>
      </c>
      <c r="K288" s="24">
        <v>0.75</v>
      </c>
      <c r="L288" s="24">
        <f t="shared" si="20"/>
        <v>9.0277777777777457E-3</v>
      </c>
      <c r="M288" s="24">
        <v>0.76111111111111107</v>
      </c>
      <c r="N288" s="8">
        <f>+M288-K288</f>
        <v>1.1111111111111072E-2</v>
      </c>
      <c r="O288" s="24">
        <f t="shared" si="21"/>
        <v>2.0138888888888817E-2</v>
      </c>
      <c r="P288" s="22">
        <v>0</v>
      </c>
      <c r="Q288" s="25" t="s">
        <v>45</v>
      </c>
      <c r="R288" s="22" t="str">
        <f>IF(COUNTIF(fest!$A$1:$A$18,B288)&gt;0,"FESTIVO", IF(OR(WEEKDAY(B288,2)=6,WEEKDAY(B288,2)=7),"NO HÁBIL","HÁBIL"))</f>
        <v>HÁBIL</v>
      </c>
    </row>
    <row r="289" spans="1:18" ht="15.75" customHeight="1" x14ac:dyDescent="0.2">
      <c r="A289" s="22" t="s">
        <v>44</v>
      </c>
      <c r="B289" s="23">
        <v>46183</v>
      </c>
      <c r="C289" s="22" t="s">
        <v>16</v>
      </c>
      <c r="D289" s="22" t="s">
        <v>17</v>
      </c>
      <c r="E289" s="22" t="s">
        <v>14</v>
      </c>
      <c r="F289" s="22" t="s">
        <v>13</v>
      </c>
      <c r="G289" s="24">
        <v>0.76388888888888884</v>
      </c>
      <c r="H289" s="24">
        <f t="shared" si="22"/>
        <v>0.27083333333333331</v>
      </c>
      <c r="I289" s="8">
        <f t="shared" si="23"/>
        <v>-0.49305555555555552</v>
      </c>
      <c r="J289" s="24">
        <v>0.76111111111111107</v>
      </c>
      <c r="K289" s="24">
        <v>0.76597222222222228</v>
      </c>
      <c r="L289" s="24">
        <f t="shared" si="20"/>
        <v>4.8611111111112049E-3</v>
      </c>
      <c r="M289" s="24">
        <f>+K289+N289</f>
        <v>0.78333333333333344</v>
      </c>
      <c r="N289" s="8">
        <f>AVERAGE(N287:N288)</f>
        <v>1.7361111111111105E-2</v>
      </c>
      <c r="O289" s="24">
        <f t="shared" si="21"/>
        <v>2.222222222222231E-2</v>
      </c>
      <c r="P289" s="22">
        <v>3</v>
      </c>
      <c r="Q289" s="25" t="s">
        <v>48</v>
      </c>
      <c r="R289" s="22" t="str">
        <f>IF(COUNTIF(fest!$A$1:$A$18,B289)&gt;0,"FESTIVO", IF(OR(WEEKDAY(B289,2)=6,WEEKDAY(B289,2)=7),"NO HÁBIL","HÁBIL"))</f>
        <v>HÁBIL</v>
      </c>
    </row>
    <row r="290" spans="1:18" ht="15.75" customHeight="1" x14ac:dyDescent="0.2">
      <c r="A290" s="22" t="s">
        <v>43</v>
      </c>
      <c r="B290" s="23">
        <v>46184</v>
      </c>
      <c r="C290" s="22" t="s">
        <v>11</v>
      </c>
      <c r="D290" s="22" t="s">
        <v>12</v>
      </c>
      <c r="E290" s="22" t="s">
        <v>13</v>
      </c>
      <c r="F290" s="22" t="s">
        <v>14</v>
      </c>
      <c r="G290" s="24">
        <v>0.27083333333333331</v>
      </c>
      <c r="H290" s="24">
        <f t="shared" si="22"/>
        <v>0.29166666666666669</v>
      </c>
      <c r="I290" s="8">
        <f t="shared" si="23"/>
        <v>2.083333333333337E-2</v>
      </c>
      <c r="J290" s="24">
        <v>0.2638888888888889</v>
      </c>
      <c r="K290" s="24">
        <v>0.27291666666666664</v>
      </c>
      <c r="L290" s="24">
        <f t="shared" si="20"/>
        <v>9.0277777777777457E-3</v>
      </c>
      <c r="M290" s="24">
        <v>0.28819444444444442</v>
      </c>
      <c r="N290" s="8">
        <f>+M290-K290</f>
        <v>1.5277777777777779E-2</v>
      </c>
      <c r="O290" s="24">
        <f t="shared" si="21"/>
        <v>2.4305555555555525E-2</v>
      </c>
      <c r="P290" s="22">
        <v>3</v>
      </c>
      <c r="Q290" s="25" t="s">
        <v>51</v>
      </c>
      <c r="R290" s="22" t="str">
        <f>IF(COUNTIF(fest!$A$1:$A$18,B290)&gt;0,"FESTIVO", IF(OR(WEEKDAY(B290,2)=6,WEEKDAY(B290,2)=7),"NO HÁBIL","HÁBIL"))</f>
        <v>HÁBIL</v>
      </c>
    </row>
    <row r="291" spans="1:18" ht="15.75" customHeight="1" x14ac:dyDescent="0.2">
      <c r="A291" s="22" t="s">
        <v>43</v>
      </c>
      <c r="B291" s="23">
        <v>46184</v>
      </c>
      <c r="C291" s="22" t="s">
        <v>15</v>
      </c>
      <c r="D291" s="22" t="s">
        <v>12</v>
      </c>
      <c r="E291" s="22" t="s">
        <v>13</v>
      </c>
      <c r="F291" s="22" t="s">
        <v>14</v>
      </c>
      <c r="G291" s="24">
        <v>0.29166666666666669</v>
      </c>
      <c r="H291" s="24">
        <f t="shared" si="22"/>
        <v>0.3125</v>
      </c>
      <c r="I291" s="8">
        <f t="shared" si="23"/>
        <v>2.0833333333333315E-2</v>
      </c>
      <c r="J291" s="24">
        <v>0.28819444444444442</v>
      </c>
      <c r="K291" s="24">
        <v>0.29930555555555555</v>
      </c>
      <c r="L291" s="24">
        <f t="shared" si="20"/>
        <v>1.1111111111111127E-2</v>
      </c>
      <c r="M291" s="24">
        <v>0.31527777777777777</v>
      </c>
      <c r="N291" s="8">
        <f>+M291-K291</f>
        <v>1.5972222222222221E-2</v>
      </c>
      <c r="O291" s="24">
        <f t="shared" si="21"/>
        <v>2.7083333333333348E-2</v>
      </c>
      <c r="P291" s="22">
        <v>0</v>
      </c>
      <c r="Q291" s="25" t="s">
        <v>51</v>
      </c>
      <c r="R291" s="22" t="str">
        <f>IF(COUNTIF(fest!$A$1:$A$18,B291)&gt;0,"FESTIVO", IF(OR(WEEKDAY(B291,2)=6,WEEKDAY(B291,2)=7),"NO HÁBIL","HÁBIL"))</f>
        <v>HÁBIL</v>
      </c>
    </row>
    <row r="292" spans="1:18" ht="15.75" customHeight="1" x14ac:dyDescent="0.2">
      <c r="A292" s="22" t="s">
        <v>43</v>
      </c>
      <c r="B292" s="23">
        <v>46184</v>
      </c>
      <c r="C292" s="22" t="s">
        <v>16</v>
      </c>
      <c r="D292" s="22" t="s">
        <v>12</v>
      </c>
      <c r="E292" s="22" t="s">
        <v>13</v>
      </c>
      <c r="F292" s="22" t="s">
        <v>14</v>
      </c>
      <c r="G292" s="24">
        <v>0.3125</v>
      </c>
      <c r="H292" s="24">
        <f t="shared" si="22"/>
        <v>0.71527777777777779</v>
      </c>
      <c r="I292" s="8">
        <f t="shared" si="23"/>
        <v>0.40277777777777779</v>
      </c>
      <c r="J292" s="24">
        <v>0.30902777777777779</v>
      </c>
      <c r="K292" s="24">
        <v>0.3215277777777778</v>
      </c>
      <c r="L292" s="24">
        <f t="shared" si="20"/>
        <v>1.2500000000000011E-2</v>
      </c>
      <c r="M292" s="24">
        <f>+K292+N292</f>
        <v>0.3371527777777778</v>
      </c>
      <c r="N292" s="8">
        <f>AVERAGE(N290:N291)</f>
        <v>1.5625E-2</v>
      </c>
      <c r="O292" s="24">
        <f t="shared" si="21"/>
        <v>2.8125000000000011E-2</v>
      </c>
      <c r="P292" s="22">
        <v>0</v>
      </c>
      <c r="Q292" s="25" t="s">
        <v>51</v>
      </c>
      <c r="R292" s="22" t="str">
        <f>IF(COUNTIF(fest!$A$1:$A$18,B292)&gt;0,"FESTIVO", IF(OR(WEEKDAY(B292,2)=6,WEEKDAY(B292,2)=7),"NO HÁBIL","HÁBIL"))</f>
        <v>HÁBIL</v>
      </c>
    </row>
    <row r="293" spans="1:18" ht="15.75" customHeight="1" x14ac:dyDescent="0.2">
      <c r="A293" s="22" t="s">
        <v>44</v>
      </c>
      <c r="B293" s="23">
        <v>46184</v>
      </c>
      <c r="C293" s="22" t="s">
        <v>11</v>
      </c>
      <c r="D293" s="22" t="s">
        <v>17</v>
      </c>
      <c r="E293" s="22" t="s">
        <v>14</v>
      </c>
      <c r="F293" s="22" t="s">
        <v>13</v>
      </c>
      <c r="G293" s="24">
        <v>0.71527777777777779</v>
      </c>
      <c r="H293" s="24">
        <f t="shared" si="22"/>
        <v>0.73958333333333337</v>
      </c>
      <c r="I293" s="8">
        <f t="shared" si="23"/>
        <v>2.430555555555558E-2</v>
      </c>
      <c r="J293" s="24">
        <v>0.70833333333333337</v>
      </c>
      <c r="K293" s="24">
        <v>0.71736111111111112</v>
      </c>
      <c r="L293" s="24">
        <f t="shared" si="20"/>
        <v>9.0277777777777457E-3</v>
      </c>
      <c r="M293" s="24">
        <v>0.73888888888888893</v>
      </c>
      <c r="N293" s="8">
        <f>+M293-K293</f>
        <v>2.1527777777777812E-2</v>
      </c>
      <c r="O293" s="24">
        <f t="shared" si="21"/>
        <v>3.0555555555555558E-2</v>
      </c>
      <c r="P293" s="22">
        <v>6</v>
      </c>
      <c r="Q293" s="25" t="s">
        <v>47</v>
      </c>
      <c r="R293" s="22" t="str">
        <f>IF(COUNTIF(fest!$A$1:$A$18,B293)&gt;0,"FESTIVO", IF(OR(WEEKDAY(B293,2)=6,WEEKDAY(B293,2)=7),"NO HÁBIL","HÁBIL"))</f>
        <v>HÁBIL</v>
      </c>
    </row>
    <row r="294" spans="1:18" ht="15.75" customHeight="1" x14ac:dyDescent="0.2">
      <c r="A294" s="22" t="s">
        <v>44</v>
      </c>
      <c r="B294" s="23">
        <v>46184</v>
      </c>
      <c r="C294" s="22" t="s">
        <v>15</v>
      </c>
      <c r="D294" s="22" t="s">
        <v>17</v>
      </c>
      <c r="E294" s="22" t="s">
        <v>14</v>
      </c>
      <c r="F294" s="22" t="s">
        <v>13</v>
      </c>
      <c r="G294" s="24">
        <v>0.73958333333333337</v>
      </c>
      <c r="H294" s="24">
        <f t="shared" si="22"/>
        <v>0.76388888888888884</v>
      </c>
      <c r="I294" s="8">
        <f t="shared" si="23"/>
        <v>2.4305555555555469E-2</v>
      </c>
      <c r="J294" s="24">
        <v>0.73888888888888893</v>
      </c>
      <c r="K294" s="24">
        <v>0.75</v>
      </c>
      <c r="L294" s="24">
        <f t="shared" si="20"/>
        <v>1.1111111111111072E-2</v>
      </c>
      <c r="M294" s="24">
        <v>0.76249999999999996</v>
      </c>
      <c r="N294" s="8">
        <f>+M294-K294</f>
        <v>1.2499999999999956E-2</v>
      </c>
      <c r="O294" s="24">
        <f t="shared" si="21"/>
        <v>2.3611111111111027E-2</v>
      </c>
      <c r="P294" s="22">
        <v>0</v>
      </c>
      <c r="Q294" s="25" t="s">
        <v>45</v>
      </c>
      <c r="R294" s="22" t="str">
        <f>IF(COUNTIF(fest!$A$1:$A$18,B294)&gt;0,"FESTIVO", IF(OR(WEEKDAY(B294,2)=6,WEEKDAY(B294,2)=7),"NO HÁBIL","HÁBIL"))</f>
        <v>HÁBIL</v>
      </c>
    </row>
    <row r="295" spans="1:18" ht="15.75" customHeight="1" x14ac:dyDescent="0.2">
      <c r="A295" s="22" t="s">
        <v>44</v>
      </c>
      <c r="B295" s="23">
        <v>46184</v>
      </c>
      <c r="C295" s="22" t="s">
        <v>16</v>
      </c>
      <c r="D295" s="22" t="s">
        <v>17</v>
      </c>
      <c r="E295" s="22" t="s">
        <v>14</v>
      </c>
      <c r="F295" s="22" t="s">
        <v>13</v>
      </c>
      <c r="G295" s="24">
        <v>0.76388888888888884</v>
      </c>
      <c r="H295" s="24">
        <f t="shared" si="22"/>
        <v>0.27083333333333331</v>
      </c>
      <c r="I295" s="8">
        <f t="shared" si="23"/>
        <v>-0.49305555555555552</v>
      </c>
      <c r="J295" s="24">
        <v>0.76249999999999996</v>
      </c>
      <c r="K295" s="24">
        <v>0.7680555555555556</v>
      </c>
      <c r="L295" s="24">
        <f t="shared" si="20"/>
        <v>5.5555555555556468E-3</v>
      </c>
      <c r="M295" s="24">
        <f>+K295+N295</f>
        <v>0.78506944444444449</v>
      </c>
      <c r="N295" s="8">
        <f>AVERAGE(N293:N294)</f>
        <v>1.7013888888888884E-2</v>
      </c>
      <c r="O295" s="24">
        <f t="shared" si="21"/>
        <v>2.2569444444444531E-2</v>
      </c>
      <c r="P295" s="22">
        <v>2</v>
      </c>
      <c r="Q295" s="25" t="s">
        <v>47</v>
      </c>
      <c r="R295" s="22" t="str">
        <f>IF(COUNTIF(fest!$A$1:$A$18,B295)&gt;0,"FESTIVO", IF(OR(WEEKDAY(B295,2)=6,WEEKDAY(B295,2)=7),"NO HÁBIL","HÁBIL"))</f>
        <v>HÁBIL</v>
      </c>
    </row>
    <row r="296" spans="1:18" ht="15.75" customHeight="1" x14ac:dyDescent="0.2">
      <c r="A296" s="22" t="s">
        <v>43</v>
      </c>
      <c r="B296" s="23">
        <v>46185</v>
      </c>
      <c r="C296" s="22" t="s">
        <v>11</v>
      </c>
      <c r="D296" s="22" t="s">
        <v>12</v>
      </c>
      <c r="E296" s="22" t="s">
        <v>13</v>
      </c>
      <c r="F296" s="22" t="s">
        <v>14</v>
      </c>
      <c r="G296" s="24">
        <v>0.27083333333333331</v>
      </c>
      <c r="H296" s="24">
        <f t="shared" si="22"/>
        <v>0.29166666666666669</v>
      </c>
      <c r="I296" s="8">
        <f t="shared" si="23"/>
        <v>2.083333333333337E-2</v>
      </c>
      <c r="J296" s="24">
        <v>0.2638888888888889</v>
      </c>
      <c r="K296" s="24">
        <v>0.27291666666666664</v>
      </c>
      <c r="L296" s="24">
        <f t="shared" si="20"/>
        <v>9.0277777777777457E-3</v>
      </c>
      <c r="M296" s="24">
        <v>0.28749999999999998</v>
      </c>
      <c r="N296" s="8">
        <f>+M296-K296</f>
        <v>1.4583333333333337E-2</v>
      </c>
      <c r="O296" s="24">
        <f t="shared" si="21"/>
        <v>2.3611111111111083E-2</v>
      </c>
      <c r="P296" s="22">
        <v>2</v>
      </c>
      <c r="Q296" s="25" t="s">
        <v>51</v>
      </c>
      <c r="R296" s="22" t="str">
        <f>IF(COUNTIF(fest!$A$1:$A$18,B296)&gt;0,"FESTIVO", IF(OR(WEEKDAY(B296,2)=6,WEEKDAY(B296,2)=7),"NO HÁBIL","HÁBIL"))</f>
        <v>HÁBIL</v>
      </c>
    </row>
    <row r="297" spans="1:18" ht="15.75" customHeight="1" x14ac:dyDescent="0.2">
      <c r="A297" s="22" t="s">
        <v>43</v>
      </c>
      <c r="B297" s="23">
        <v>46185</v>
      </c>
      <c r="C297" s="22" t="s">
        <v>15</v>
      </c>
      <c r="D297" s="22" t="s">
        <v>12</v>
      </c>
      <c r="E297" s="22" t="s">
        <v>13</v>
      </c>
      <c r="F297" s="22" t="s">
        <v>14</v>
      </c>
      <c r="G297" s="24">
        <v>0.29166666666666669</v>
      </c>
      <c r="H297" s="24">
        <f t="shared" si="22"/>
        <v>0.3125</v>
      </c>
      <c r="I297" s="8">
        <f t="shared" si="23"/>
        <v>2.0833333333333315E-2</v>
      </c>
      <c r="J297" s="24">
        <v>0.28749999999999998</v>
      </c>
      <c r="K297" s="24">
        <v>0.29791666666666666</v>
      </c>
      <c r="L297" s="24">
        <f t="shared" si="20"/>
        <v>1.0416666666666685E-2</v>
      </c>
      <c r="M297" s="24">
        <v>0.30902777777777779</v>
      </c>
      <c r="N297" s="8">
        <f>+M297-K297</f>
        <v>1.1111111111111127E-2</v>
      </c>
      <c r="O297" s="24">
        <f t="shared" si="21"/>
        <v>2.1527777777777812E-2</v>
      </c>
      <c r="P297" s="22">
        <v>0</v>
      </c>
      <c r="Q297" s="25" t="s">
        <v>51</v>
      </c>
      <c r="R297" s="22" t="str">
        <f>IF(COUNTIF(fest!$A$1:$A$18,B297)&gt;0,"FESTIVO", IF(OR(WEEKDAY(B297,2)=6,WEEKDAY(B297,2)=7),"NO HÁBIL","HÁBIL"))</f>
        <v>HÁBIL</v>
      </c>
    </row>
    <row r="298" spans="1:18" ht="15.75" customHeight="1" x14ac:dyDescent="0.2">
      <c r="A298" s="22" t="s">
        <v>43</v>
      </c>
      <c r="B298" s="23">
        <v>46185</v>
      </c>
      <c r="C298" s="22" t="s">
        <v>16</v>
      </c>
      <c r="D298" s="22" t="s">
        <v>12</v>
      </c>
      <c r="E298" s="22" t="s">
        <v>13</v>
      </c>
      <c r="F298" s="22" t="s">
        <v>14</v>
      </c>
      <c r="G298" s="24">
        <v>0.3125</v>
      </c>
      <c r="H298" s="24">
        <f t="shared" si="22"/>
        <v>0.71527777777777779</v>
      </c>
      <c r="I298" s="8">
        <f t="shared" si="23"/>
        <v>0.40277777777777779</v>
      </c>
      <c r="J298" s="24">
        <v>0.30902777777777779</v>
      </c>
      <c r="K298" s="24">
        <v>0.31458333333333333</v>
      </c>
      <c r="L298" s="24">
        <f t="shared" si="20"/>
        <v>5.5555555555555358E-3</v>
      </c>
      <c r="M298" s="24">
        <f>+K298+N298</f>
        <v>0.32743055555555556</v>
      </c>
      <c r="N298" s="8">
        <f>AVERAGE(N296:N297)</f>
        <v>1.2847222222222232E-2</v>
      </c>
      <c r="O298" s="24">
        <f t="shared" si="21"/>
        <v>1.8402777777777768E-2</v>
      </c>
      <c r="P298" s="22">
        <v>3</v>
      </c>
      <c r="Q298" s="25" t="s">
        <v>51</v>
      </c>
      <c r="R298" s="22" t="str">
        <f>IF(COUNTIF(fest!$A$1:$A$18,B298)&gt;0,"FESTIVO", IF(OR(WEEKDAY(B298,2)=6,WEEKDAY(B298,2)=7),"NO HÁBIL","HÁBIL"))</f>
        <v>HÁBIL</v>
      </c>
    </row>
    <row r="299" spans="1:18" ht="15.75" customHeight="1" x14ac:dyDescent="0.2">
      <c r="A299" s="22" t="s">
        <v>44</v>
      </c>
      <c r="B299" s="23">
        <v>46185</v>
      </c>
      <c r="C299" s="22" t="s">
        <v>11</v>
      </c>
      <c r="D299" s="22" t="s">
        <v>17</v>
      </c>
      <c r="E299" s="22" t="s">
        <v>14</v>
      </c>
      <c r="F299" s="22" t="s">
        <v>13</v>
      </c>
      <c r="G299" s="24">
        <v>0.71527777777777779</v>
      </c>
      <c r="H299" s="24">
        <f t="shared" si="22"/>
        <v>0.73958333333333337</v>
      </c>
      <c r="I299" s="8">
        <f t="shared" si="23"/>
        <v>2.430555555555558E-2</v>
      </c>
      <c r="J299" s="24">
        <v>0.66666666666666663</v>
      </c>
      <c r="K299" s="24">
        <v>0.67569444444444449</v>
      </c>
      <c r="L299" s="24">
        <f t="shared" si="20"/>
        <v>9.0277777777778567E-3</v>
      </c>
      <c r="M299" s="24">
        <v>0.69236111111111109</v>
      </c>
      <c r="N299" s="8">
        <f>+M299-K299</f>
        <v>1.6666666666666607E-2</v>
      </c>
      <c r="O299" s="24">
        <f t="shared" si="21"/>
        <v>2.5694444444444464E-2</v>
      </c>
      <c r="P299" s="22">
        <v>0</v>
      </c>
      <c r="Q299" s="25" t="s">
        <v>45</v>
      </c>
      <c r="R299" s="22" t="str">
        <f>IF(COUNTIF(fest!$A$1:$A$18,B299)&gt;0,"FESTIVO", IF(OR(WEEKDAY(B299,2)=6,WEEKDAY(B299,2)=7),"NO HÁBIL","HÁBIL"))</f>
        <v>HÁBIL</v>
      </c>
    </row>
    <row r="300" spans="1:18" ht="15.75" customHeight="1" x14ac:dyDescent="0.2">
      <c r="A300" s="22" t="s">
        <v>44</v>
      </c>
      <c r="B300" s="23">
        <v>46185</v>
      </c>
      <c r="C300" s="22" t="s">
        <v>15</v>
      </c>
      <c r="D300" s="22" t="s">
        <v>17</v>
      </c>
      <c r="E300" s="22" t="s">
        <v>14</v>
      </c>
      <c r="F300" s="22" t="s">
        <v>13</v>
      </c>
      <c r="G300" s="24">
        <v>0.73958333333333337</v>
      </c>
      <c r="H300" s="24">
        <f t="shared" si="22"/>
        <v>0.76388888888888884</v>
      </c>
      <c r="I300" s="8">
        <f t="shared" si="23"/>
        <v>2.4305555555555469E-2</v>
      </c>
      <c r="J300" s="24">
        <v>0.69236111111111109</v>
      </c>
      <c r="K300" s="24">
        <v>0.70486111111111116</v>
      </c>
      <c r="L300" s="24">
        <f t="shared" si="20"/>
        <v>1.2500000000000067E-2</v>
      </c>
      <c r="M300" s="24">
        <v>0.71875</v>
      </c>
      <c r="N300" s="8">
        <f>+M300-K300</f>
        <v>1.388888888888884E-2</v>
      </c>
      <c r="O300" s="24">
        <f t="shared" si="21"/>
        <v>2.6388888888888906E-2</v>
      </c>
      <c r="P300" s="22">
        <v>0</v>
      </c>
      <c r="Q300" s="25" t="s">
        <v>45</v>
      </c>
      <c r="R300" s="22" t="str">
        <f>IF(COUNTIF(fest!$A$1:$A$18,B300)&gt;0,"FESTIVO", IF(OR(WEEKDAY(B300,2)=6,WEEKDAY(B300,2)=7),"NO HÁBIL","HÁBIL"))</f>
        <v>HÁBIL</v>
      </c>
    </row>
    <row r="301" spans="1:18" ht="15.75" customHeight="1" x14ac:dyDescent="0.2">
      <c r="A301" s="22" t="s">
        <v>44</v>
      </c>
      <c r="B301" s="23">
        <v>46185</v>
      </c>
      <c r="C301" s="22" t="s">
        <v>16</v>
      </c>
      <c r="D301" s="22" t="s">
        <v>17</v>
      </c>
      <c r="E301" s="22" t="s">
        <v>14</v>
      </c>
      <c r="F301" s="22" t="s">
        <v>13</v>
      </c>
      <c r="G301" s="24">
        <v>0.76388888888888884</v>
      </c>
      <c r="H301" s="24">
        <f t="shared" si="22"/>
        <v>0.27083333333333331</v>
      </c>
      <c r="I301" s="8">
        <f t="shared" si="23"/>
        <v>-0.49305555555555552</v>
      </c>
      <c r="J301" s="24">
        <v>0.71875</v>
      </c>
      <c r="K301" s="24">
        <v>0.72569444444444442</v>
      </c>
      <c r="L301" s="24">
        <f t="shared" si="20"/>
        <v>6.9444444444444198E-3</v>
      </c>
      <c r="M301" s="24">
        <f>+K301+N301</f>
        <v>0.74097222222222214</v>
      </c>
      <c r="N301" s="8">
        <f>AVERAGE(N299:N300)</f>
        <v>1.5277777777777724E-2</v>
      </c>
      <c r="O301" s="24">
        <f t="shared" si="21"/>
        <v>2.2222222222222143E-2</v>
      </c>
      <c r="P301" s="22">
        <v>6</v>
      </c>
      <c r="Q301" s="25" t="s">
        <v>48</v>
      </c>
      <c r="R301" s="22" t="str">
        <f>IF(COUNTIF(fest!$A$1:$A$18,B301)&gt;0,"FESTIVO", IF(OR(WEEKDAY(B301,2)=6,WEEKDAY(B301,2)=7),"NO HÁBIL","HÁBIL"))</f>
        <v>HÁBIL</v>
      </c>
    </row>
    <row r="302" spans="1:18" ht="15.75" customHeight="1" x14ac:dyDescent="0.2">
      <c r="A302" s="22" t="s">
        <v>43</v>
      </c>
      <c r="B302" s="23">
        <v>46189</v>
      </c>
      <c r="C302" s="22" t="s">
        <v>11</v>
      </c>
      <c r="D302" s="22" t="s">
        <v>12</v>
      </c>
      <c r="E302" s="22" t="s">
        <v>13</v>
      </c>
      <c r="F302" s="22" t="s">
        <v>14</v>
      </c>
      <c r="G302" s="24">
        <v>0.27083333333333331</v>
      </c>
      <c r="H302" s="24">
        <f t="shared" si="22"/>
        <v>0.29166666666666669</v>
      </c>
      <c r="I302" s="8">
        <f t="shared" si="23"/>
        <v>2.083333333333337E-2</v>
      </c>
      <c r="J302" s="24">
        <v>0.2638888888888889</v>
      </c>
      <c r="K302" s="24">
        <v>0.27291666666666664</v>
      </c>
      <c r="L302" s="24">
        <f t="shared" si="20"/>
        <v>9.0277777777777457E-3</v>
      </c>
      <c r="M302" s="24">
        <v>0.28888888888888886</v>
      </c>
      <c r="N302" s="8">
        <f>+M302-K302</f>
        <v>1.5972222222222221E-2</v>
      </c>
      <c r="O302" s="24">
        <f t="shared" si="21"/>
        <v>2.4999999999999967E-2</v>
      </c>
      <c r="P302" s="22">
        <v>3</v>
      </c>
      <c r="Q302" s="25" t="s">
        <v>51</v>
      </c>
      <c r="R302" s="22" t="str">
        <f>IF(COUNTIF(fest!$A$1:$A$18,B302)&gt;0,"FESTIVO", IF(OR(WEEKDAY(B302,2)=6,WEEKDAY(B302,2)=7),"NO HÁBIL","HÁBIL"))</f>
        <v>HÁBIL</v>
      </c>
    </row>
    <row r="303" spans="1:18" ht="15.75" customHeight="1" x14ac:dyDescent="0.2">
      <c r="A303" s="22" t="s">
        <v>43</v>
      </c>
      <c r="B303" s="23">
        <v>46189</v>
      </c>
      <c r="C303" s="22" t="s">
        <v>15</v>
      </c>
      <c r="D303" s="22" t="s">
        <v>12</v>
      </c>
      <c r="E303" s="22" t="s">
        <v>13</v>
      </c>
      <c r="F303" s="22" t="s">
        <v>14</v>
      </c>
      <c r="G303" s="24">
        <v>0.29166666666666669</v>
      </c>
      <c r="H303" s="24">
        <f t="shared" si="22"/>
        <v>0.3125</v>
      </c>
      <c r="I303" s="8">
        <f t="shared" si="23"/>
        <v>2.0833333333333315E-2</v>
      </c>
      <c r="J303" s="24">
        <v>0.28888888888888886</v>
      </c>
      <c r="K303" s="24">
        <v>0.29444444444444445</v>
      </c>
      <c r="L303" s="24">
        <f t="shared" si="20"/>
        <v>5.5555555555555913E-3</v>
      </c>
      <c r="M303" s="24">
        <v>0.31041666666666667</v>
      </c>
      <c r="N303" s="8">
        <f>+M303-K303</f>
        <v>1.5972222222222221E-2</v>
      </c>
      <c r="O303" s="24">
        <f t="shared" si="21"/>
        <v>2.1527777777777812E-2</v>
      </c>
      <c r="P303" s="22">
        <v>3</v>
      </c>
      <c r="Q303" s="25" t="s">
        <v>51</v>
      </c>
      <c r="R303" s="22" t="str">
        <f>IF(COUNTIF(fest!$A$1:$A$18,B303)&gt;0,"FESTIVO", IF(OR(WEEKDAY(B303,2)=6,WEEKDAY(B303,2)=7),"NO HÁBIL","HÁBIL"))</f>
        <v>HÁBIL</v>
      </c>
    </row>
    <row r="304" spans="1:18" ht="15.75" customHeight="1" x14ac:dyDescent="0.2">
      <c r="A304" s="22" t="s">
        <v>43</v>
      </c>
      <c r="B304" s="23">
        <v>46189</v>
      </c>
      <c r="C304" s="22" t="s">
        <v>16</v>
      </c>
      <c r="D304" s="22" t="s">
        <v>12</v>
      </c>
      <c r="E304" s="22" t="s">
        <v>13</v>
      </c>
      <c r="F304" s="22" t="s">
        <v>14</v>
      </c>
      <c r="G304" s="24">
        <v>0.3125</v>
      </c>
      <c r="H304" s="24">
        <f t="shared" si="22"/>
        <v>0.71527777777777779</v>
      </c>
      <c r="I304" s="8">
        <f t="shared" si="23"/>
        <v>0.40277777777777779</v>
      </c>
      <c r="J304" s="24">
        <v>0.31041666666666667</v>
      </c>
      <c r="K304" s="24">
        <v>0.31805555555555554</v>
      </c>
      <c r="L304" s="24">
        <f t="shared" si="20"/>
        <v>7.6388888888888618E-3</v>
      </c>
      <c r="M304" s="24">
        <f>+K304+N304</f>
        <v>0.33402777777777776</v>
      </c>
      <c r="N304" s="8">
        <f>AVERAGE(N302:N303)</f>
        <v>1.5972222222222221E-2</v>
      </c>
      <c r="O304" s="24">
        <f t="shared" si="21"/>
        <v>2.3611111111111083E-2</v>
      </c>
      <c r="P304" s="22">
        <v>1</v>
      </c>
      <c r="Q304" s="25" t="s">
        <v>51</v>
      </c>
      <c r="R304" s="22" t="str">
        <f>IF(COUNTIF(fest!$A$1:$A$18,B304)&gt;0,"FESTIVO", IF(OR(WEEKDAY(B304,2)=6,WEEKDAY(B304,2)=7),"NO HÁBIL","HÁBIL"))</f>
        <v>HÁBIL</v>
      </c>
    </row>
    <row r="305" spans="1:18" ht="15.75" customHeight="1" x14ac:dyDescent="0.2">
      <c r="A305" s="22" t="s">
        <v>44</v>
      </c>
      <c r="B305" s="23">
        <v>46189</v>
      </c>
      <c r="C305" s="22" t="s">
        <v>11</v>
      </c>
      <c r="D305" s="22" t="s">
        <v>17</v>
      </c>
      <c r="E305" s="22" t="s">
        <v>14</v>
      </c>
      <c r="F305" s="22" t="s">
        <v>13</v>
      </c>
      <c r="G305" s="24">
        <v>0.71527777777777779</v>
      </c>
      <c r="H305" s="24">
        <f t="shared" si="22"/>
        <v>0.73958333333333337</v>
      </c>
      <c r="I305" s="8">
        <f t="shared" si="23"/>
        <v>2.430555555555558E-2</v>
      </c>
      <c r="J305" s="24">
        <v>0.70833333333333337</v>
      </c>
      <c r="K305" s="24">
        <v>0.71736111111111112</v>
      </c>
      <c r="L305" s="24">
        <f t="shared" si="20"/>
        <v>9.0277777777777457E-3</v>
      </c>
      <c r="M305" s="24">
        <v>0.73750000000000004</v>
      </c>
      <c r="N305" s="8">
        <f>+M305-K305</f>
        <v>2.0138888888888928E-2</v>
      </c>
      <c r="O305" s="24">
        <f t="shared" si="21"/>
        <v>2.9166666666666674E-2</v>
      </c>
      <c r="P305" s="22">
        <v>5</v>
      </c>
      <c r="Q305" s="25" t="s">
        <v>49</v>
      </c>
      <c r="R305" s="22" t="str">
        <f>IF(COUNTIF(fest!$A$1:$A$18,B305)&gt;0,"FESTIVO", IF(OR(WEEKDAY(B305,2)=6,WEEKDAY(B305,2)=7),"NO HÁBIL","HÁBIL"))</f>
        <v>HÁBIL</v>
      </c>
    </row>
    <row r="306" spans="1:18" ht="15.75" customHeight="1" x14ac:dyDescent="0.2">
      <c r="A306" s="22" t="s">
        <v>44</v>
      </c>
      <c r="B306" s="23">
        <v>46189</v>
      </c>
      <c r="C306" s="22" t="s">
        <v>15</v>
      </c>
      <c r="D306" s="22" t="s">
        <v>17</v>
      </c>
      <c r="E306" s="22" t="s">
        <v>14</v>
      </c>
      <c r="F306" s="22" t="s">
        <v>13</v>
      </c>
      <c r="G306" s="24">
        <v>0.73958333333333337</v>
      </c>
      <c r="H306" s="24">
        <f t="shared" si="22"/>
        <v>0.76388888888888884</v>
      </c>
      <c r="I306" s="8">
        <f t="shared" si="23"/>
        <v>2.4305555555555469E-2</v>
      </c>
      <c r="J306" s="24">
        <v>0.73750000000000004</v>
      </c>
      <c r="K306" s="24">
        <v>0.7416666666666667</v>
      </c>
      <c r="L306" s="24">
        <f t="shared" si="20"/>
        <v>4.1666666666666519E-3</v>
      </c>
      <c r="M306" s="24">
        <v>0.76111111111111107</v>
      </c>
      <c r="N306" s="8">
        <f>+M306-K306</f>
        <v>1.9444444444444375E-2</v>
      </c>
      <c r="O306" s="24">
        <f t="shared" si="21"/>
        <v>2.3611111111111027E-2</v>
      </c>
      <c r="P306" s="22">
        <v>2</v>
      </c>
      <c r="Q306" s="25" t="s">
        <v>47</v>
      </c>
      <c r="R306" s="22" t="str">
        <f>IF(COUNTIF(fest!$A$1:$A$18,B306)&gt;0,"FESTIVO", IF(OR(WEEKDAY(B306,2)=6,WEEKDAY(B306,2)=7),"NO HÁBIL","HÁBIL"))</f>
        <v>HÁBIL</v>
      </c>
    </row>
    <row r="307" spans="1:18" ht="15.75" customHeight="1" x14ac:dyDescent="0.2">
      <c r="A307" s="22" t="s">
        <v>44</v>
      </c>
      <c r="B307" s="23">
        <v>46189</v>
      </c>
      <c r="C307" s="22" t="s">
        <v>16</v>
      </c>
      <c r="D307" s="22" t="s">
        <v>17</v>
      </c>
      <c r="E307" s="22" t="s">
        <v>14</v>
      </c>
      <c r="F307" s="22" t="s">
        <v>13</v>
      </c>
      <c r="G307" s="24">
        <v>0.76388888888888884</v>
      </c>
      <c r="H307" s="24">
        <f t="shared" si="22"/>
        <v>0.27083333333333331</v>
      </c>
      <c r="I307" s="8">
        <f t="shared" si="23"/>
        <v>-0.49305555555555552</v>
      </c>
      <c r="J307" s="24">
        <v>0.76111111111111107</v>
      </c>
      <c r="K307" s="24">
        <v>0.76597222222222228</v>
      </c>
      <c r="L307" s="24">
        <f t="shared" si="20"/>
        <v>4.8611111111112049E-3</v>
      </c>
      <c r="M307" s="24">
        <f>+K307+N307</f>
        <v>0.78576388888888893</v>
      </c>
      <c r="N307" s="8">
        <f>AVERAGE(N305:N306)</f>
        <v>1.9791666666666652E-2</v>
      </c>
      <c r="O307" s="24">
        <f t="shared" si="21"/>
        <v>2.4652777777777857E-2</v>
      </c>
      <c r="P307" s="22">
        <v>8</v>
      </c>
      <c r="Q307" s="25" t="s">
        <v>48</v>
      </c>
      <c r="R307" s="22" t="str">
        <f>IF(COUNTIF(fest!$A$1:$A$18,B307)&gt;0,"FESTIVO", IF(OR(WEEKDAY(B307,2)=6,WEEKDAY(B307,2)=7),"NO HÁBIL","HÁBIL"))</f>
        <v>HÁBIL</v>
      </c>
    </row>
    <row r="308" spans="1:18" ht="15.75" customHeight="1" x14ac:dyDescent="0.2">
      <c r="A308" s="22" t="s">
        <v>43</v>
      </c>
      <c r="B308" s="23">
        <v>46190</v>
      </c>
      <c r="C308" s="22" t="s">
        <v>11</v>
      </c>
      <c r="D308" s="22" t="s">
        <v>12</v>
      </c>
      <c r="E308" s="22" t="s">
        <v>13</v>
      </c>
      <c r="F308" s="22" t="s">
        <v>14</v>
      </c>
      <c r="G308" s="24">
        <v>0.27083333333333331</v>
      </c>
      <c r="H308" s="24">
        <f t="shared" si="22"/>
        <v>0.29166666666666669</v>
      </c>
      <c r="I308" s="8">
        <f t="shared" si="23"/>
        <v>2.083333333333337E-2</v>
      </c>
      <c r="J308" s="24">
        <v>0.2638888888888889</v>
      </c>
      <c r="K308" s="24">
        <v>0.27291666666666664</v>
      </c>
      <c r="L308" s="24">
        <f t="shared" si="20"/>
        <v>9.0277777777777457E-3</v>
      </c>
      <c r="M308" s="24">
        <v>0.28749999999999998</v>
      </c>
      <c r="N308" s="8">
        <f>+M308-K308</f>
        <v>1.4583333333333337E-2</v>
      </c>
      <c r="O308" s="24">
        <f t="shared" si="21"/>
        <v>2.3611111111111083E-2</v>
      </c>
      <c r="P308" s="22">
        <v>2</v>
      </c>
      <c r="Q308" s="25" t="s">
        <v>51</v>
      </c>
      <c r="R308" s="22" t="str">
        <f>IF(COUNTIF(fest!$A$1:$A$18,B308)&gt;0,"FESTIVO", IF(OR(WEEKDAY(B308,2)=6,WEEKDAY(B308,2)=7),"NO HÁBIL","HÁBIL"))</f>
        <v>HÁBIL</v>
      </c>
    </row>
    <row r="309" spans="1:18" ht="15.75" customHeight="1" x14ac:dyDescent="0.2">
      <c r="A309" s="22" t="s">
        <v>43</v>
      </c>
      <c r="B309" s="23">
        <v>46190</v>
      </c>
      <c r="C309" s="22" t="s">
        <v>15</v>
      </c>
      <c r="D309" s="22" t="s">
        <v>12</v>
      </c>
      <c r="E309" s="22" t="s">
        <v>13</v>
      </c>
      <c r="F309" s="22" t="s">
        <v>14</v>
      </c>
      <c r="G309" s="24">
        <v>0.29166666666666669</v>
      </c>
      <c r="H309" s="24">
        <f t="shared" si="22"/>
        <v>0.3125</v>
      </c>
      <c r="I309" s="8">
        <f t="shared" si="23"/>
        <v>2.0833333333333315E-2</v>
      </c>
      <c r="J309" s="24">
        <v>0.28749999999999998</v>
      </c>
      <c r="K309" s="24">
        <v>0.29375000000000001</v>
      </c>
      <c r="L309" s="24">
        <f t="shared" si="20"/>
        <v>6.2500000000000333E-3</v>
      </c>
      <c r="M309" s="24">
        <v>0.31041666666666667</v>
      </c>
      <c r="N309" s="8">
        <f>+M309-K309</f>
        <v>1.6666666666666663E-2</v>
      </c>
      <c r="O309" s="24">
        <f t="shared" si="21"/>
        <v>2.2916666666666696E-2</v>
      </c>
      <c r="P309" s="22">
        <v>1</v>
      </c>
      <c r="Q309" s="25" t="s">
        <v>51</v>
      </c>
      <c r="R309" s="22" t="str">
        <f>IF(COUNTIF(fest!$A$1:$A$18,B309)&gt;0,"FESTIVO", IF(OR(WEEKDAY(B309,2)=6,WEEKDAY(B309,2)=7),"NO HÁBIL","HÁBIL"))</f>
        <v>HÁBIL</v>
      </c>
    </row>
    <row r="310" spans="1:18" ht="15.75" customHeight="1" x14ac:dyDescent="0.2">
      <c r="A310" s="22" t="s">
        <v>43</v>
      </c>
      <c r="B310" s="23">
        <v>46190</v>
      </c>
      <c r="C310" s="22" t="s">
        <v>16</v>
      </c>
      <c r="D310" s="22" t="s">
        <v>12</v>
      </c>
      <c r="E310" s="22" t="s">
        <v>13</v>
      </c>
      <c r="F310" s="22" t="s">
        <v>14</v>
      </c>
      <c r="G310" s="24">
        <v>0.3125</v>
      </c>
      <c r="H310" s="24">
        <f t="shared" si="22"/>
        <v>0.71527777777777779</v>
      </c>
      <c r="I310" s="8">
        <f t="shared" si="23"/>
        <v>0.40277777777777779</v>
      </c>
      <c r="J310" s="24">
        <v>0.31041666666666667</v>
      </c>
      <c r="K310" s="24">
        <v>0.31666666666666665</v>
      </c>
      <c r="L310" s="24">
        <f t="shared" si="20"/>
        <v>6.2499999999999778E-3</v>
      </c>
      <c r="M310" s="24">
        <f>+K310+N310</f>
        <v>0.33229166666666665</v>
      </c>
      <c r="N310" s="8">
        <f>AVERAGE(N308:N309)</f>
        <v>1.5625E-2</v>
      </c>
      <c r="O310" s="24">
        <f t="shared" si="21"/>
        <v>2.1874999999999978E-2</v>
      </c>
      <c r="P310" s="22">
        <v>1</v>
      </c>
      <c r="Q310" s="25" t="s">
        <v>51</v>
      </c>
      <c r="R310" s="22" t="str">
        <f>IF(COUNTIF(fest!$A$1:$A$18,B310)&gt;0,"FESTIVO", IF(OR(WEEKDAY(B310,2)=6,WEEKDAY(B310,2)=7),"NO HÁBIL","HÁBIL"))</f>
        <v>HÁBIL</v>
      </c>
    </row>
    <row r="311" spans="1:18" ht="15.75" customHeight="1" x14ac:dyDescent="0.2">
      <c r="A311" s="22" t="s">
        <v>44</v>
      </c>
      <c r="B311" s="23">
        <v>46190</v>
      </c>
      <c r="C311" s="22" t="s">
        <v>11</v>
      </c>
      <c r="D311" s="22" t="s">
        <v>17</v>
      </c>
      <c r="E311" s="22" t="s">
        <v>14</v>
      </c>
      <c r="F311" s="22" t="s">
        <v>13</v>
      </c>
      <c r="G311" s="24">
        <v>0.71527777777777779</v>
      </c>
      <c r="H311" s="24">
        <f t="shared" si="22"/>
        <v>0.73958333333333337</v>
      </c>
      <c r="I311" s="8">
        <f t="shared" si="23"/>
        <v>2.430555555555558E-2</v>
      </c>
      <c r="J311" s="24">
        <v>0.70972222222222225</v>
      </c>
      <c r="K311" s="24">
        <v>0.71736111111111112</v>
      </c>
      <c r="L311" s="24">
        <f t="shared" si="20"/>
        <v>7.6388888888888618E-3</v>
      </c>
      <c r="M311" s="24">
        <v>0.73750000000000004</v>
      </c>
      <c r="N311" s="8">
        <f>+M311-K311</f>
        <v>2.0138888888888928E-2</v>
      </c>
      <c r="O311" s="24">
        <f t="shared" si="21"/>
        <v>2.777777777777779E-2</v>
      </c>
      <c r="P311" s="22">
        <v>2</v>
      </c>
      <c r="Q311" s="25" t="s">
        <v>47</v>
      </c>
      <c r="R311" s="22" t="str">
        <f>IF(COUNTIF(fest!$A$1:$A$18,B311)&gt;0,"FESTIVO", IF(OR(WEEKDAY(B311,2)=6,WEEKDAY(B311,2)=7),"NO HÁBIL","HÁBIL"))</f>
        <v>HÁBIL</v>
      </c>
    </row>
    <row r="312" spans="1:18" ht="15.75" customHeight="1" x14ac:dyDescent="0.2">
      <c r="A312" s="22" t="s">
        <v>44</v>
      </c>
      <c r="B312" s="23">
        <v>46190</v>
      </c>
      <c r="C312" s="22" t="s">
        <v>15</v>
      </c>
      <c r="D312" s="22" t="s">
        <v>17</v>
      </c>
      <c r="E312" s="22" t="s">
        <v>14</v>
      </c>
      <c r="F312" s="22" t="s">
        <v>13</v>
      </c>
      <c r="G312" s="24">
        <v>0.73958333333333337</v>
      </c>
      <c r="H312" s="24">
        <f t="shared" si="22"/>
        <v>0.76388888888888884</v>
      </c>
      <c r="I312" s="8">
        <f t="shared" si="23"/>
        <v>2.4305555555555469E-2</v>
      </c>
      <c r="J312" s="24">
        <v>0.73750000000000004</v>
      </c>
      <c r="K312" s="24">
        <v>0.74236111111111114</v>
      </c>
      <c r="L312" s="24">
        <f t="shared" si="20"/>
        <v>4.8611111111110938E-3</v>
      </c>
      <c r="M312" s="24">
        <v>0.76041666666666663</v>
      </c>
      <c r="N312" s="8">
        <f>+M312-K312</f>
        <v>1.8055555555555491E-2</v>
      </c>
      <c r="O312" s="24">
        <f t="shared" si="21"/>
        <v>2.2916666666666585E-2</v>
      </c>
      <c r="P312" s="22">
        <v>2</v>
      </c>
      <c r="Q312" s="25" t="s">
        <v>49</v>
      </c>
      <c r="R312" s="22" t="str">
        <f>IF(COUNTIF(fest!$A$1:$A$18,B312)&gt;0,"FESTIVO", IF(OR(WEEKDAY(B312,2)=6,WEEKDAY(B312,2)=7),"NO HÁBIL","HÁBIL"))</f>
        <v>HÁBIL</v>
      </c>
    </row>
    <row r="313" spans="1:18" ht="15.75" customHeight="1" x14ac:dyDescent="0.2">
      <c r="A313" s="22" t="s">
        <v>44</v>
      </c>
      <c r="B313" s="23">
        <v>46190</v>
      </c>
      <c r="C313" s="22" t="s">
        <v>16</v>
      </c>
      <c r="D313" s="22" t="s">
        <v>17</v>
      </c>
      <c r="E313" s="22" t="s">
        <v>14</v>
      </c>
      <c r="F313" s="22" t="s">
        <v>13</v>
      </c>
      <c r="G313" s="24">
        <v>0.76388888888888884</v>
      </c>
      <c r="H313" s="24">
        <f t="shared" si="22"/>
        <v>0.27083333333333331</v>
      </c>
      <c r="I313" s="8">
        <f t="shared" si="23"/>
        <v>-0.49305555555555552</v>
      </c>
      <c r="J313" s="24">
        <v>0.76041666666666663</v>
      </c>
      <c r="K313" s="24">
        <v>0.76597222222222228</v>
      </c>
      <c r="L313" s="24">
        <f t="shared" si="20"/>
        <v>5.5555555555556468E-3</v>
      </c>
      <c r="M313" s="24">
        <v>0.77430555555555558</v>
      </c>
      <c r="N313" s="8">
        <f>AVERAGE(N311:N312)</f>
        <v>1.909722222222221E-2</v>
      </c>
      <c r="O313" s="24">
        <f t="shared" si="21"/>
        <v>2.4652777777777857E-2</v>
      </c>
      <c r="P313" s="22">
        <v>4</v>
      </c>
      <c r="Q313" s="25" t="s">
        <v>48</v>
      </c>
      <c r="R313" s="22" t="str">
        <f>IF(COUNTIF(fest!$A$1:$A$18,B313)&gt;0,"FESTIVO", IF(OR(WEEKDAY(B313,2)=6,WEEKDAY(B313,2)=7),"NO HÁBIL","HÁBIL"))</f>
        <v>HÁBIL</v>
      </c>
    </row>
    <row r="314" spans="1:18" ht="15.75" customHeight="1" x14ac:dyDescent="0.2">
      <c r="A314" s="22" t="s">
        <v>43</v>
      </c>
      <c r="B314" s="23">
        <v>46191</v>
      </c>
      <c r="C314" s="22" t="s">
        <v>11</v>
      </c>
      <c r="D314" s="22" t="s">
        <v>12</v>
      </c>
      <c r="E314" s="22" t="s">
        <v>13</v>
      </c>
      <c r="F314" s="22" t="s">
        <v>14</v>
      </c>
      <c r="G314" s="24">
        <v>0.27083333333333331</v>
      </c>
      <c r="H314" s="24">
        <f t="shared" si="22"/>
        <v>0.29166666666666669</v>
      </c>
      <c r="I314" s="8">
        <f t="shared" si="23"/>
        <v>2.083333333333337E-2</v>
      </c>
      <c r="J314" s="24">
        <v>0.2638888888888889</v>
      </c>
      <c r="K314" s="24">
        <v>0.27361111111111114</v>
      </c>
      <c r="L314" s="24">
        <f t="shared" si="20"/>
        <v>9.7222222222222432E-3</v>
      </c>
      <c r="M314" s="24">
        <v>0.30902777777777779</v>
      </c>
      <c r="N314" s="8">
        <f>+M314-K314</f>
        <v>3.5416666666666652E-2</v>
      </c>
      <c r="O314" s="24">
        <f t="shared" si="21"/>
        <v>4.5138888888888895E-2</v>
      </c>
      <c r="P314" s="22">
        <v>4</v>
      </c>
      <c r="Q314" s="25" t="s">
        <v>51</v>
      </c>
      <c r="R314" s="22" t="str">
        <f>IF(COUNTIF(fest!$A$1:$A$18,B314)&gt;0,"FESTIVO", IF(OR(WEEKDAY(B314,2)=6,WEEKDAY(B314,2)=7),"NO HÁBIL","HÁBIL"))</f>
        <v>HÁBIL</v>
      </c>
    </row>
    <row r="315" spans="1:18" ht="15.75" customHeight="1" x14ac:dyDescent="0.2">
      <c r="A315" s="22" t="s">
        <v>43</v>
      </c>
      <c r="B315" s="23">
        <v>46191</v>
      </c>
      <c r="C315" s="22" t="s">
        <v>15</v>
      </c>
      <c r="D315" s="22" t="s">
        <v>12</v>
      </c>
      <c r="E315" s="22" t="s">
        <v>13</v>
      </c>
      <c r="F315" s="22" t="s">
        <v>14</v>
      </c>
      <c r="G315" s="24">
        <v>0.29166666666666669</v>
      </c>
      <c r="H315" s="24">
        <f t="shared" si="22"/>
        <v>0.3125</v>
      </c>
      <c r="I315" s="8">
        <f t="shared" si="23"/>
        <v>2.0833333333333315E-2</v>
      </c>
      <c r="J315" s="24">
        <v>0.30902777777777779</v>
      </c>
      <c r="K315" s="24">
        <v>0.32083333333333336</v>
      </c>
      <c r="L315" s="24">
        <f t="shared" si="20"/>
        <v>1.1805555555555569E-2</v>
      </c>
      <c r="M315" s="24">
        <v>0.30902777777777779</v>
      </c>
      <c r="N315" s="8">
        <f>+M315-K315</f>
        <v>-1.1805555555555569E-2</v>
      </c>
      <c r="O315" s="24">
        <f t="shared" si="21"/>
        <v>0</v>
      </c>
      <c r="P315" s="22">
        <v>1</v>
      </c>
      <c r="Q315" s="25" t="s">
        <v>51</v>
      </c>
      <c r="R315" s="22" t="str">
        <f>IF(COUNTIF(fest!$A$1:$A$18,B315)&gt;0,"FESTIVO", IF(OR(WEEKDAY(B315,2)=6,WEEKDAY(B315,2)=7),"NO HÁBIL","HÁBIL"))</f>
        <v>HÁBIL</v>
      </c>
    </row>
    <row r="316" spans="1:18" ht="15.75" customHeight="1" x14ac:dyDescent="0.2">
      <c r="A316" s="22" t="s">
        <v>43</v>
      </c>
      <c r="B316" s="23">
        <v>46191</v>
      </c>
      <c r="C316" s="22" t="s">
        <v>16</v>
      </c>
      <c r="D316" s="22" t="s">
        <v>12</v>
      </c>
      <c r="E316" s="22" t="s">
        <v>13</v>
      </c>
      <c r="F316" s="22" t="s">
        <v>14</v>
      </c>
      <c r="G316" s="24">
        <v>0.3125</v>
      </c>
      <c r="H316" s="24">
        <f t="shared" si="22"/>
        <v>0.71527777777777779</v>
      </c>
      <c r="I316" s="8">
        <f t="shared" si="23"/>
        <v>0.40277777777777779</v>
      </c>
      <c r="J316" s="24">
        <v>0.30902777777777779</v>
      </c>
      <c r="K316" s="24">
        <v>0.32083333333333336</v>
      </c>
      <c r="L316" s="24">
        <v>0</v>
      </c>
      <c r="M316" s="24">
        <v>0</v>
      </c>
      <c r="N316" s="8">
        <v>0</v>
      </c>
      <c r="O316" s="24">
        <v>0</v>
      </c>
      <c r="P316" s="22">
        <v>0</v>
      </c>
      <c r="Q316" s="25" t="s">
        <v>51</v>
      </c>
      <c r="R316" s="22" t="str">
        <f>IF(COUNTIF(fest!$A$1:$A$18,B316)&gt;0,"FESTIVO", IF(OR(WEEKDAY(B316,2)=6,WEEKDAY(B316,2)=7),"NO HÁBIL","HÁBIL"))</f>
        <v>HÁBIL</v>
      </c>
    </row>
    <row r="317" spans="1:18" ht="15.75" customHeight="1" x14ac:dyDescent="0.2">
      <c r="A317" s="22" t="s">
        <v>44</v>
      </c>
      <c r="B317" s="23">
        <v>46191</v>
      </c>
      <c r="C317" s="22" t="s">
        <v>11</v>
      </c>
      <c r="D317" s="22" t="s">
        <v>17</v>
      </c>
      <c r="E317" s="22" t="s">
        <v>14</v>
      </c>
      <c r="F317" s="22" t="s">
        <v>13</v>
      </c>
      <c r="G317" s="24">
        <v>0.71527777777777779</v>
      </c>
      <c r="H317" s="24">
        <f t="shared" si="22"/>
        <v>0.73958333333333337</v>
      </c>
      <c r="I317" s="8">
        <f t="shared" si="23"/>
        <v>2.430555555555558E-2</v>
      </c>
      <c r="J317" s="24">
        <v>0.70833333333333337</v>
      </c>
      <c r="K317" s="24">
        <v>0.71736111111111112</v>
      </c>
      <c r="L317" s="24">
        <f t="shared" ref="L317:L348" si="24">+K317-J317</f>
        <v>9.0277777777777457E-3</v>
      </c>
      <c r="M317" s="24">
        <v>0.73958333333333337</v>
      </c>
      <c r="N317" s="8">
        <f>+M317-K317</f>
        <v>2.2222222222222254E-2</v>
      </c>
      <c r="O317" s="24">
        <f>+L317+N317</f>
        <v>3.125E-2</v>
      </c>
      <c r="P317" s="22">
        <v>7</v>
      </c>
      <c r="Q317" s="25" t="s">
        <v>48</v>
      </c>
      <c r="R317" s="22" t="str">
        <f>IF(COUNTIF(fest!$A$1:$A$18,B317)&gt;0,"FESTIVO", IF(OR(WEEKDAY(B317,2)=6,WEEKDAY(B317,2)=7),"NO HÁBIL","HÁBIL"))</f>
        <v>HÁBIL</v>
      </c>
    </row>
    <row r="318" spans="1:18" ht="15.75" customHeight="1" x14ac:dyDescent="0.2">
      <c r="A318" s="22" t="s">
        <v>44</v>
      </c>
      <c r="B318" s="23">
        <v>46191</v>
      </c>
      <c r="C318" s="22" t="s">
        <v>15</v>
      </c>
      <c r="D318" s="22" t="s">
        <v>17</v>
      </c>
      <c r="E318" s="22" t="s">
        <v>14</v>
      </c>
      <c r="F318" s="22" t="s">
        <v>13</v>
      </c>
      <c r="G318" s="24">
        <v>0.73958333333333337</v>
      </c>
      <c r="H318" s="24">
        <f t="shared" si="22"/>
        <v>0.76388888888888884</v>
      </c>
      <c r="I318" s="8">
        <f t="shared" si="23"/>
        <v>2.4305555555555469E-2</v>
      </c>
      <c r="J318" s="24">
        <v>0.73958333333333337</v>
      </c>
      <c r="K318" s="24">
        <v>0.74722222222222223</v>
      </c>
      <c r="L318" s="24">
        <f t="shared" si="24"/>
        <v>7.6388888888888618E-3</v>
      </c>
      <c r="M318" s="24">
        <v>0</v>
      </c>
      <c r="N318" s="8">
        <v>0</v>
      </c>
      <c r="O318" s="24">
        <v>0</v>
      </c>
      <c r="P318" s="22">
        <v>0</v>
      </c>
      <c r="Q318" s="25" t="s">
        <v>45</v>
      </c>
      <c r="R318" s="22" t="str">
        <f>IF(COUNTIF(fest!$A$1:$A$18,B318)&gt;0,"FESTIVO", IF(OR(WEEKDAY(B318,2)=6,WEEKDAY(B318,2)=7),"NO HÁBIL","HÁBIL"))</f>
        <v>HÁBIL</v>
      </c>
    </row>
    <row r="319" spans="1:18" ht="15.75" customHeight="1" x14ac:dyDescent="0.2">
      <c r="A319" s="22" t="s">
        <v>44</v>
      </c>
      <c r="B319" s="23">
        <v>46191</v>
      </c>
      <c r="C319" s="22" t="s">
        <v>16</v>
      </c>
      <c r="D319" s="22" t="s">
        <v>17</v>
      </c>
      <c r="E319" s="22" t="s">
        <v>14</v>
      </c>
      <c r="F319" s="22" t="s">
        <v>13</v>
      </c>
      <c r="G319" s="24">
        <v>0.76388888888888884</v>
      </c>
      <c r="H319" s="24">
        <f t="shared" si="22"/>
        <v>0.27083333333333331</v>
      </c>
      <c r="I319" s="8">
        <f t="shared" si="23"/>
        <v>-0.49305555555555552</v>
      </c>
      <c r="J319" s="24">
        <v>0.26041666666666669</v>
      </c>
      <c r="K319" s="24">
        <v>0.26666666666666666</v>
      </c>
      <c r="L319" s="24">
        <f t="shared" si="24"/>
        <v>6.2499999999999778E-3</v>
      </c>
      <c r="M319" s="24">
        <v>0.27569444444444446</v>
      </c>
      <c r="N319" s="8">
        <f>AVERAGE(N317:N318)</f>
        <v>1.1111111111111127E-2</v>
      </c>
      <c r="O319" s="24">
        <f>+L319+N319</f>
        <v>1.7361111111111105E-2</v>
      </c>
      <c r="P319" s="22">
        <v>4</v>
      </c>
      <c r="Q319" s="25" t="s">
        <v>47</v>
      </c>
      <c r="R319" s="22" t="str">
        <f>IF(COUNTIF(fest!$A$1:$A$18,B319)&gt;0,"FESTIVO", IF(OR(WEEKDAY(B319,2)=6,WEEKDAY(B319,2)=7),"NO HÁBIL","HÁBIL"))</f>
        <v>HÁBIL</v>
      </c>
    </row>
    <row r="320" spans="1:18" ht="15.75" customHeight="1" x14ac:dyDescent="0.2">
      <c r="A320" s="22" t="s">
        <v>43</v>
      </c>
      <c r="B320" s="23">
        <v>46192</v>
      </c>
      <c r="C320" s="22" t="s">
        <v>11</v>
      </c>
      <c r="D320" s="22" t="s">
        <v>12</v>
      </c>
      <c r="E320" s="22" t="s">
        <v>13</v>
      </c>
      <c r="F320" s="22" t="s">
        <v>14</v>
      </c>
      <c r="G320" s="24">
        <v>0.27083333333333331</v>
      </c>
      <c r="H320" s="24">
        <f t="shared" si="22"/>
        <v>0.29166666666666669</v>
      </c>
      <c r="I320" s="8">
        <f t="shared" si="23"/>
        <v>2.083333333333337E-2</v>
      </c>
      <c r="J320" s="24">
        <v>0.2638888888888889</v>
      </c>
      <c r="K320" s="24">
        <v>0.27291666666666664</v>
      </c>
      <c r="L320" s="24">
        <f t="shared" si="24"/>
        <v>9.0277777777777457E-3</v>
      </c>
      <c r="M320" s="24">
        <v>0.28958333333333336</v>
      </c>
      <c r="N320" s="8">
        <f>+M320-K320</f>
        <v>1.6666666666666718E-2</v>
      </c>
      <c r="O320" s="24">
        <f>+L320+N320</f>
        <v>2.5694444444444464E-2</v>
      </c>
      <c r="P320" s="22">
        <v>1</v>
      </c>
      <c r="Q320" s="25" t="s">
        <v>51</v>
      </c>
      <c r="R320" s="22" t="str">
        <f>IF(COUNTIF(fest!$A$1:$A$18,B320)&gt;0,"FESTIVO", IF(OR(WEEKDAY(B320,2)=6,WEEKDAY(B320,2)=7),"NO HÁBIL","HÁBIL"))</f>
        <v>HÁBIL</v>
      </c>
    </row>
    <row r="321" spans="1:18" ht="15.75" customHeight="1" x14ac:dyDescent="0.2">
      <c r="A321" s="22" t="s">
        <v>43</v>
      </c>
      <c r="B321" s="23">
        <v>46192</v>
      </c>
      <c r="C321" s="22" t="s">
        <v>15</v>
      </c>
      <c r="D321" s="22" t="s">
        <v>12</v>
      </c>
      <c r="E321" s="22" t="s">
        <v>13</v>
      </c>
      <c r="F321" s="22" t="s">
        <v>14</v>
      </c>
      <c r="G321" s="24">
        <v>0.29166666666666669</v>
      </c>
      <c r="H321" s="24">
        <f t="shared" si="22"/>
        <v>0.3125</v>
      </c>
      <c r="I321" s="8">
        <f t="shared" si="23"/>
        <v>2.0833333333333315E-2</v>
      </c>
      <c r="J321" s="24">
        <v>0.28958333333333336</v>
      </c>
      <c r="K321" s="24">
        <v>0.29722222222222222</v>
      </c>
      <c r="L321" s="24">
        <f t="shared" si="24"/>
        <v>7.6388888888888618E-3</v>
      </c>
      <c r="M321" s="24">
        <v>0</v>
      </c>
      <c r="N321" s="8">
        <v>0</v>
      </c>
      <c r="O321" s="24">
        <v>0</v>
      </c>
      <c r="P321" s="22">
        <v>0</v>
      </c>
      <c r="Q321" s="25" t="s">
        <v>51</v>
      </c>
      <c r="R321" s="22" t="str">
        <f>IF(COUNTIF(fest!$A$1:$A$18,B321)&gt;0,"FESTIVO", IF(OR(WEEKDAY(B321,2)=6,WEEKDAY(B321,2)=7),"NO HÁBIL","HÁBIL"))</f>
        <v>HÁBIL</v>
      </c>
    </row>
    <row r="322" spans="1:18" ht="15.75" customHeight="1" x14ac:dyDescent="0.2">
      <c r="A322" s="22" t="s">
        <v>43</v>
      </c>
      <c r="B322" s="23">
        <v>46192</v>
      </c>
      <c r="C322" s="22" t="s">
        <v>16</v>
      </c>
      <c r="D322" s="22" t="s">
        <v>12</v>
      </c>
      <c r="E322" s="22" t="s">
        <v>13</v>
      </c>
      <c r="F322" s="22" t="s">
        <v>14</v>
      </c>
      <c r="G322" s="24">
        <v>0.3125</v>
      </c>
      <c r="H322" s="24">
        <f t="shared" si="22"/>
        <v>0.71527777777777779</v>
      </c>
      <c r="I322" s="8">
        <f t="shared" si="23"/>
        <v>0.40277777777777779</v>
      </c>
      <c r="J322" s="24">
        <v>0.30902777777777779</v>
      </c>
      <c r="K322" s="24">
        <v>0.32083333333333336</v>
      </c>
      <c r="L322" s="24">
        <f t="shared" si="24"/>
        <v>1.1805555555555569E-2</v>
      </c>
      <c r="M322" s="24">
        <f>+K322+N322</f>
        <v>0.32916666666666672</v>
      </c>
      <c r="N322" s="8">
        <f>AVERAGE(N320:N321)</f>
        <v>8.3333333333333592E-3</v>
      </c>
      <c r="O322" s="24">
        <f t="shared" ref="O322:O333" si="25">+L322+N322</f>
        <v>2.0138888888888928E-2</v>
      </c>
      <c r="P322" s="22">
        <v>0</v>
      </c>
      <c r="Q322" s="25" t="s">
        <v>51</v>
      </c>
      <c r="R322" s="22" t="str">
        <f>IF(COUNTIF(fest!$A$1:$A$18,B322)&gt;0,"FESTIVO", IF(OR(WEEKDAY(B322,2)=6,WEEKDAY(B322,2)=7),"NO HÁBIL","HÁBIL"))</f>
        <v>HÁBIL</v>
      </c>
    </row>
    <row r="323" spans="1:18" ht="15.75" customHeight="1" x14ac:dyDescent="0.2">
      <c r="A323" s="22" t="s">
        <v>44</v>
      </c>
      <c r="B323" s="23">
        <v>46192</v>
      </c>
      <c r="C323" s="22" t="s">
        <v>11</v>
      </c>
      <c r="D323" s="22" t="s">
        <v>17</v>
      </c>
      <c r="E323" s="22" t="s">
        <v>14</v>
      </c>
      <c r="F323" s="22" t="s">
        <v>13</v>
      </c>
      <c r="G323" s="24">
        <v>0.71527777777777779</v>
      </c>
      <c r="H323" s="24">
        <f t="shared" ref="H323:H386" si="26">+G323+I323</f>
        <v>0.73958333333333337</v>
      </c>
      <c r="I323" s="8">
        <f t="shared" ref="I323:I386" si="27">+G324-G323</f>
        <v>2.430555555555558E-2</v>
      </c>
      <c r="J323" s="24">
        <v>0.66666666666666663</v>
      </c>
      <c r="K323" s="24">
        <v>0.67638888888888893</v>
      </c>
      <c r="L323" s="24">
        <f t="shared" si="24"/>
        <v>9.7222222222222987E-3</v>
      </c>
      <c r="M323" s="24">
        <v>0.69097222222222221</v>
      </c>
      <c r="N323" s="8">
        <f>+M323-K323</f>
        <v>1.4583333333333282E-2</v>
      </c>
      <c r="O323" s="24">
        <f t="shared" si="25"/>
        <v>2.430555555555558E-2</v>
      </c>
      <c r="P323" s="22">
        <v>2</v>
      </c>
      <c r="Q323" s="25" t="s">
        <v>47</v>
      </c>
      <c r="R323" s="22" t="str">
        <f>IF(COUNTIF(fest!$A$1:$A$18,B323)&gt;0,"FESTIVO", IF(OR(WEEKDAY(B323,2)=6,WEEKDAY(B323,2)=7),"NO HÁBIL","HÁBIL"))</f>
        <v>HÁBIL</v>
      </c>
    </row>
    <row r="324" spans="1:18" ht="15.75" customHeight="1" x14ac:dyDescent="0.2">
      <c r="A324" s="22" t="s">
        <v>44</v>
      </c>
      <c r="B324" s="23">
        <v>46192</v>
      </c>
      <c r="C324" s="22" t="s">
        <v>15</v>
      </c>
      <c r="D324" s="22" t="s">
        <v>17</v>
      </c>
      <c r="E324" s="22" t="s">
        <v>14</v>
      </c>
      <c r="F324" s="22" t="s">
        <v>13</v>
      </c>
      <c r="G324" s="24">
        <v>0.73958333333333337</v>
      </c>
      <c r="H324" s="24">
        <f t="shared" si="26"/>
        <v>0.76388888888888884</v>
      </c>
      <c r="I324" s="8">
        <f t="shared" si="27"/>
        <v>2.4305555555555469E-2</v>
      </c>
      <c r="J324" s="24">
        <v>0.69097222222222221</v>
      </c>
      <c r="K324" s="24">
        <v>0.70208333333333328</v>
      </c>
      <c r="L324" s="24">
        <f t="shared" si="24"/>
        <v>1.1111111111111072E-2</v>
      </c>
      <c r="M324" s="24">
        <v>0.71875</v>
      </c>
      <c r="N324" s="8">
        <f>+M324-K324</f>
        <v>1.6666666666666718E-2</v>
      </c>
      <c r="O324" s="24">
        <f t="shared" si="25"/>
        <v>2.777777777777779E-2</v>
      </c>
      <c r="P324" s="22">
        <v>1</v>
      </c>
      <c r="Q324" s="25" t="s">
        <v>49</v>
      </c>
      <c r="R324" s="22" t="str">
        <f>IF(COUNTIF(fest!$A$1:$A$18,B324)&gt;0,"FESTIVO", IF(OR(WEEKDAY(B324,2)=6,WEEKDAY(B324,2)=7),"NO HÁBIL","HÁBIL"))</f>
        <v>HÁBIL</v>
      </c>
    </row>
    <row r="325" spans="1:18" ht="15.75" customHeight="1" x14ac:dyDescent="0.2">
      <c r="A325" s="22" t="s">
        <v>44</v>
      </c>
      <c r="B325" s="23">
        <v>46192</v>
      </c>
      <c r="C325" s="22" t="s">
        <v>16</v>
      </c>
      <c r="D325" s="22" t="s">
        <v>17</v>
      </c>
      <c r="E325" s="22" t="s">
        <v>14</v>
      </c>
      <c r="F325" s="22" t="s">
        <v>13</v>
      </c>
      <c r="G325" s="24">
        <v>0.76388888888888884</v>
      </c>
      <c r="H325" s="24">
        <f t="shared" si="26"/>
        <v>0.27083333333333331</v>
      </c>
      <c r="I325" s="8">
        <f t="shared" si="27"/>
        <v>-0.49305555555555552</v>
      </c>
      <c r="J325" s="24">
        <v>0.71875</v>
      </c>
      <c r="K325" s="24">
        <v>0.72499999999999998</v>
      </c>
      <c r="L325" s="24">
        <f t="shared" si="24"/>
        <v>6.2499999999999778E-3</v>
      </c>
      <c r="M325" s="24">
        <f>+K325+N325</f>
        <v>0.74062499999999998</v>
      </c>
      <c r="N325" s="8">
        <f>AVERAGE(N323:N324)</f>
        <v>1.5625E-2</v>
      </c>
      <c r="O325" s="24">
        <f t="shared" si="25"/>
        <v>2.1874999999999978E-2</v>
      </c>
      <c r="P325" s="22">
        <v>5</v>
      </c>
      <c r="Q325" s="25" t="s">
        <v>48</v>
      </c>
      <c r="R325" s="22" t="str">
        <f>IF(COUNTIF(fest!$A$1:$A$18,B325)&gt;0,"FESTIVO", IF(OR(WEEKDAY(B325,2)=6,WEEKDAY(B325,2)=7),"NO HÁBIL","HÁBIL"))</f>
        <v>HÁBIL</v>
      </c>
    </row>
    <row r="326" spans="1:18" ht="15.75" customHeight="1" x14ac:dyDescent="0.2">
      <c r="A326" s="22" t="s">
        <v>43</v>
      </c>
      <c r="B326" s="23">
        <v>46195</v>
      </c>
      <c r="C326" s="22" t="s">
        <v>11</v>
      </c>
      <c r="D326" s="22" t="s">
        <v>12</v>
      </c>
      <c r="E326" s="22" t="s">
        <v>13</v>
      </c>
      <c r="F326" s="22" t="s">
        <v>14</v>
      </c>
      <c r="G326" s="24">
        <v>0.27083333333333331</v>
      </c>
      <c r="H326" s="24">
        <f t="shared" si="26"/>
        <v>0.29166666666666669</v>
      </c>
      <c r="I326" s="8">
        <f t="shared" si="27"/>
        <v>2.083333333333337E-2</v>
      </c>
      <c r="J326" s="24">
        <v>0.26458333333333334</v>
      </c>
      <c r="K326" s="24">
        <v>0.27291666666666664</v>
      </c>
      <c r="L326" s="24">
        <f t="shared" si="24"/>
        <v>8.3333333333333037E-3</v>
      </c>
      <c r="M326" s="24">
        <v>0.28749999999999998</v>
      </c>
      <c r="N326" s="8">
        <f>+M326-K326</f>
        <v>1.4583333333333337E-2</v>
      </c>
      <c r="O326" s="24">
        <f t="shared" si="25"/>
        <v>2.2916666666666641E-2</v>
      </c>
      <c r="P326" s="22">
        <v>3</v>
      </c>
      <c r="Q326" s="25" t="s">
        <v>51</v>
      </c>
      <c r="R326" s="22" t="str">
        <f>IF(COUNTIF(fest!$A$1:$A$18,B326)&gt;0,"FESTIVO", IF(OR(WEEKDAY(B326,2)=6,WEEKDAY(B326,2)=7),"NO HÁBIL","HÁBIL"))</f>
        <v>HÁBIL</v>
      </c>
    </row>
    <row r="327" spans="1:18" ht="15.75" customHeight="1" x14ac:dyDescent="0.2">
      <c r="A327" s="22" t="s">
        <v>43</v>
      </c>
      <c r="B327" s="23">
        <v>46195</v>
      </c>
      <c r="C327" s="22" t="s">
        <v>15</v>
      </c>
      <c r="D327" s="22" t="s">
        <v>12</v>
      </c>
      <c r="E327" s="22" t="s">
        <v>13</v>
      </c>
      <c r="F327" s="22" t="s">
        <v>14</v>
      </c>
      <c r="G327" s="24">
        <v>0.29166666666666669</v>
      </c>
      <c r="H327" s="24">
        <f t="shared" si="26"/>
        <v>0.3125</v>
      </c>
      <c r="I327" s="8">
        <f t="shared" si="27"/>
        <v>2.0833333333333315E-2</v>
      </c>
      <c r="J327" s="24">
        <v>0.28749999999999998</v>
      </c>
      <c r="K327" s="24">
        <v>0.29375000000000001</v>
      </c>
      <c r="L327" s="24">
        <f t="shared" si="24"/>
        <v>6.2500000000000333E-3</v>
      </c>
      <c r="M327" s="24">
        <v>0.30972222222222223</v>
      </c>
      <c r="N327" s="8">
        <f>+M327-K327</f>
        <v>1.5972222222222221E-2</v>
      </c>
      <c r="O327" s="24">
        <f t="shared" si="25"/>
        <v>2.2222222222222254E-2</v>
      </c>
      <c r="P327" s="22">
        <v>1</v>
      </c>
      <c r="Q327" s="25" t="s">
        <v>51</v>
      </c>
      <c r="R327" s="22" t="str">
        <f>IF(COUNTIF(fest!$A$1:$A$18,B327)&gt;0,"FESTIVO", IF(OR(WEEKDAY(B327,2)=6,WEEKDAY(B327,2)=7),"NO HÁBIL","HÁBIL"))</f>
        <v>HÁBIL</v>
      </c>
    </row>
    <row r="328" spans="1:18" ht="15.75" customHeight="1" x14ac:dyDescent="0.2">
      <c r="A328" s="22" t="s">
        <v>43</v>
      </c>
      <c r="B328" s="23">
        <v>46195</v>
      </c>
      <c r="C328" s="22" t="s">
        <v>16</v>
      </c>
      <c r="D328" s="22" t="s">
        <v>12</v>
      </c>
      <c r="E328" s="22" t="s">
        <v>13</v>
      </c>
      <c r="F328" s="22" t="s">
        <v>14</v>
      </c>
      <c r="G328" s="24">
        <v>0.3125</v>
      </c>
      <c r="H328" s="24">
        <f t="shared" si="26"/>
        <v>0.71527777777777779</v>
      </c>
      <c r="I328" s="8">
        <f t="shared" si="27"/>
        <v>0.40277777777777779</v>
      </c>
      <c r="J328" s="24">
        <v>0.30972222222222223</v>
      </c>
      <c r="K328" s="24">
        <v>0.31458333333333333</v>
      </c>
      <c r="L328" s="24">
        <f t="shared" si="24"/>
        <v>4.8611111111110938E-3</v>
      </c>
      <c r="M328" s="24">
        <f>+K328+N328</f>
        <v>0.3298611111111111</v>
      </c>
      <c r="N328" s="8">
        <f>AVERAGE(N326:N327)</f>
        <v>1.5277777777777779E-2</v>
      </c>
      <c r="O328" s="24">
        <f t="shared" si="25"/>
        <v>2.0138888888888873E-2</v>
      </c>
      <c r="P328" s="22">
        <v>1</v>
      </c>
      <c r="Q328" s="25" t="s">
        <v>51</v>
      </c>
      <c r="R328" s="22" t="str">
        <f>IF(COUNTIF(fest!$A$1:$A$18,B328)&gt;0,"FESTIVO", IF(OR(WEEKDAY(B328,2)=6,WEEKDAY(B328,2)=7),"NO HÁBIL","HÁBIL"))</f>
        <v>HÁBIL</v>
      </c>
    </row>
    <row r="329" spans="1:18" ht="15.75" customHeight="1" x14ac:dyDescent="0.2">
      <c r="A329" s="22" t="s">
        <v>44</v>
      </c>
      <c r="B329" s="23">
        <v>46195</v>
      </c>
      <c r="C329" s="22" t="s">
        <v>11</v>
      </c>
      <c r="D329" s="22" t="s">
        <v>17</v>
      </c>
      <c r="E329" s="22" t="s">
        <v>14</v>
      </c>
      <c r="F329" s="22" t="s">
        <v>13</v>
      </c>
      <c r="G329" s="24">
        <v>0.71527777777777779</v>
      </c>
      <c r="H329" s="24">
        <f t="shared" si="26"/>
        <v>0.73958333333333337</v>
      </c>
      <c r="I329" s="8">
        <f t="shared" si="27"/>
        <v>2.430555555555558E-2</v>
      </c>
      <c r="J329" s="24">
        <v>0.70833333333333337</v>
      </c>
      <c r="K329" s="24">
        <v>0.71736111111111112</v>
      </c>
      <c r="L329" s="24">
        <f t="shared" si="24"/>
        <v>9.0277777777777457E-3</v>
      </c>
      <c r="M329" s="24">
        <v>0.74027777777777781</v>
      </c>
      <c r="N329" s="8">
        <f>+M329-K329</f>
        <v>2.2916666666666696E-2</v>
      </c>
      <c r="O329" s="24">
        <f t="shared" si="25"/>
        <v>3.1944444444444442E-2</v>
      </c>
      <c r="P329" s="22">
        <v>6</v>
      </c>
      <c r="Q329" s="25" t="s">
        <v>48</v>
      </c>
      <c r="R329" s="22" t="str">
        <f>IF(COUNTIF(fest!$A$1:$A$18,B329)&gt;0,"FESTIVO", IF(OR(WEEKDAY(B329,2)=6,WEEKDAY(B329,2)=7),"NO HÁBIL","HÁBIL"))</f>
        <v>HÁBIL</v>
      </c>
    </row>
    <row r="330" spans="1:18" ht="15.75" customHeight="1" x14ac:dyDescent="0.2">
      <c r="A330" s="22" t="s">
        <v>44</v>
      </c>
      <c r="B330" s="23">
        <v>46195</v>
      </c>
      <c r="C330" s="22" t="s">
        <v>15</v>
      </c>
      <c r="D330" s="22" t="s">
        <v>17</v>
      </c>
      <c r="E330" s="22" t="s">
        <v>14</v>
      </c>
      <c r="F330" s="22" t="s">
        <v>13</v>
      </c>
      <c r="G330" s="24">
        <v>0.73958333333333337</v>
      </c>
      <c r="H330" s="24">
        <f t="shared" si="26"/>
        <v>0.76388888888888884</v>
      </c>
      <c r="I330" s="8">
        <f t="shared" si="27"/>
        <v>2.4305555555555469E-2</v>
      </c>
      <c r="J330" s="24">
        <v>0.74027777777777781</v>
      </c>
      <c r="K330" s="24">
        <v>0.74652777777777779</v>
      </c>
      <c r="L330" s="24">
        <f t="shared" si="24"/>
        <v>6.2499999999999778E-3</v>
      </c>
      <c r="M330" s="24">
        <v>0.76041666666666663</v>
      </c>
      <c r="N330" s="8">
        <f>+M330-K330</f>
        <v>1.388888888888884E-2</v>
      </c>
      <c r="O330" s="24">
        <f t="shared" si="25"/>
        <v>2.0138888888888817E-2</v>
      </c>
      <c r="P330" s="22">
        <v>1</v>
      </c>
      <c r="Q330" s="25" t="s">
        <v>47</v>
      </c>
      <c r="R330" s="22" t="str">
        <f>IF(COUNTIF(fest!$A$1:$A$18,B330)&gt;0,"FESTIVO", IF(OR(WEEKDAY(B330,2)=6,WEEKDAY(B330,2)=7),"NO HÁBIL","HÁBIL"))</f>
        <v>HÁBIL</v>
      </c>
    </row>
    <row r="331" spans="1:18" ht="15.75" customHeight="1" x14ac:dyDescent="0.2">
      <c r="A331" s="22" t="s">
        <v>44</v>
      </c>
      <c r="B331" s="23">
        <v>46195</v>
      </c>
      <c r="C331" s="22" t="s">
        <v>16</v>
      </c>
      <c r="D331" s="22" t="s">
        <v>17</v>
      </c>
      <c r="E331" s="22" t="s">
        <v>14</v>
      </c>
      <c r="F331" s="22" t="s">
        <v>13</v>
      </c>
      <c r="G331" s="24">
        <v>0.76388888888888884</v>
      </c>
      <c r="H331" s="24">
        <f t="shared" si="26"/>
        <v>0.27083333333333331</v>
      </c>
      <c r="I331" s="8">
        <f t="shared" si="27"/>
        <v>-0.49305555555555552</v>
      </c>
      <c r="J331" s="24">
        <v>0.76041666666666663</v>
      </c>
      <c r="K331" s="24">
        <v>0.76597222222222228</v>
      </c>
      <c r="L331" s="24">
        <f t="shared" si="24"/>
        <v>5.5555555555556468E-3</v>
      </c>
      <c r="M331" s="24">
        <f>+K331+N331</f>
        <v>0.78437500000000004</v>
      </c>
      <c r="N331" s="8">
        <f>AVERAGE(N329:N330)</f>
        <v>1.8402777777777768E-2</v>
      </c>
      <c r="O331" s="24">
        <f t="shared" si="25"/>
        <v>2.3958333333333415E-2</v>
      </c>
      <c r="P331" s="22">
        <v>1</v>
      </c>
      <c r="Q331" s="25" t="s">
        <v>47</v>
      </c>
      <c r="R331" s="22" t="str">
        <f>IF(COUNTIF(fest!$A$1:$A$18,B331)&gt;0,"FESTIVO", IF(OR(WEEKDAY(B331,2)=6,WEEKDAY(B331,2)=7),"NO HÁBIL","HÁBIL"))</f>
        <v>HÁBIL</v>
      </c>
    </row>
    <row r="332" spans="1:18" ht="15.75" customHeight="1" x14ac:dyDescent="0.2">
      <c r="A332" s="22" t="s">
        <v>43</v>
      </c>
      <c r="B332" s="23">
        <v>46196</v>
      </c>
      <c r="C332" s="22" t="s">
        <v>11</v>
      </c>
      <c r="D332" s="22" t="s">
        <v>12</v>
      </c>
      <c r="E332" s="22" t="s">
        <v>13</v>
      </c>
      <c r="F332" s="22" t="s">
        <v>14</v>
      </c>
      <c r="G332" s="24">
        <v>0.27083333333333331</v>
      </c>
      <c r="H332" s="24">
        <f t="shared" si="26"/>
        <v>0.29166666666666669</v>
      </c>
      <c r="I332" s="8">
        <f t="shared" si="27"/>
        <v>2.083333333333337E-2</v>
      </c>
      <c r="J332" s="24">
        <v>0.26319444444444445</v>
      </c>
      <c r="K332" s="24">
        <v>0.27291666666666664</v>
      </c>
      <c r="L332" s="24">
        <f t="shared" si="24"/>
        <v>9.7222222222221877E-3</v>
      </c>
      <c r="M332" s="24">
        <v>0.28749999999999998</v>
      </c>
      <c r="N332" s="8">
        <f>+M332-K332</f>
        <v>1.4583333333333337E-2</v>
      </c>
      <c r="O332" s="24">
        <f t="shared" si="25"/>
        <v>2.4305555555555525E-2</v>
      </c>
      <c r="P332" s="22">
        <v>2</v>
      </c>
      <c r="Q332" s="25" t="s">
        <v>51</v>
      </c>
      <c r="R332" s="22" t="str">
        <f>IF(COUNTIF(fest!$A$1:$A$18,B332)&gt;0,"FESTIVO", IF(OR(WEEKDAY(B332,2)=6,WEEKDAY(B332,2)=7),"NO HÁBIL","HÁBIL"))</f>
        <v>HÁBIL</v>
      </c>
    </row>
    <row r="333" spans="1:18" ht="15.75" customHeight="1" x14ac:dyDescent="0.2">
      <c r="A333" s="22" t="s">
        <v>43</v>
      </c>
      <c r="B333" s="23">
        <v>46196</v>
      </c>
      <c r="C333" s="22" t="s">
        <v>15</v>
      </c>
      <c r="D333" s="22" t="s">
        <v>12</v>
      </c>
      <c r="E333" s="22" t="s">
        <v>13</v>
      </c>
      <c r="F333" s="22" t="s">
        <v>14</v>
      </c>
      <c r="G333" s="24">
        <v>0.29166666666666669</v>
      </c>
      <c r="H333" s="24">
        <f t="shared" si="26"/>
        <v>0.3125</v>
      </c>
      <c r="I333" s="8">
        <f t="shared" si="27"/>
        <v>2.0833333333333315E-2</v>
      </c>
      <c r="J333" s="24">
        <v>0.28749999999999998</v>
      </c>
      <c r="K333" s="24">
        <v>0.29375000000000001</v>
      </c>
      <c r="L333" s="24">
        <f t="shared" si="24"/>
        <v>6.2500000000000333E-3</v>
      </c>
      <c r="M333" s="24">
        <v>0.30902777777777779</v>
      </c>
      <c r="N333" s="8">
        <f>+M333-K333</f>
        <v>1.5277777777777779E-2</v>
      </c>
      <c r="O333" s="24">
        <f t="shared" si="25"/>
        <v>2.1527777777777812E-2</v>
      </c>
      <c r="P333" s="22">
        <v>2</v>
      </c>
      <c r="Q333" s="25" t="s">
        <v>51</v>
      </c>
      <c r="R333" s="22" t="str">
        <f>IF(COUNTIF(fest!$A$1:$A$18,B333)&gt;0,"FESTIVO", IF(OR(WEEKDAY(B333,2)=6,WEEKDAY(B333,2)=7),"NO HÁBIL","HÁBIL"))</f>
        <v>HÁBIL</v>
      </c>
    </row>
    <row r="334" spans="1:18" ht="15.75" customHeight="1" x14ac:dyDescent="0.2">
      <c r="A334" s="22" t="s">
        <v>43</v>
      </c>
      <c r="B334" s="23">
        <v>46196</v>
      </c>
      <c r="C334" s="22" t="s">
        <v>16</v>
      </c>
      <c r="D334" s="22" t="s">
        <v>12</v>
      </c>
      <c r="E334" s="22" t="s">
        <v>13</v>
      </c>
      <c r="F334" s="22" t="s">
        <v>14</v>
      </c>
      <c r="G334" s="24">
        <v>0.3125</v>
      </c>
      <c r="H334" s="24">
        <f t="shared" si="26"/>
        <v>0.71527777777777779</v>
      </c>
      <c r="I334" s="8">
        <f t="shared" si="27"/>
        <v>0.40277777777777779</v>
      </c>
      <c r="J334" s="24">
        <v>0.30902777777777779</v>
      </c>
      <c r="K334" s="24">
        <v>0.32083333333333336</v>
      </c>
      <c r="L334" s="24">
        <f t="shared" si="24"/>
        <v>1.1805555555555569E-2</v>
      </c>
      <c r="M334" s="24">
        <v>0</v>
      </c>
      <c r="N334" s="8">
        <v>0</v>
      </c>
      <c r="O334" s="24">
        <v>0</v>
      </c>
      <c r="P334" s="22">
        <v>0</v>
      </c>
      <c r="Q334" s="25" t="s">
        <v>51</v>
      </c>
      <c r="R334" s="22" t="str">
        <f>IF(COUNTIF(fest!$A$1:$A$18,B334)&gt;0,"FESTIVO", IF(OR(WEEKDAY(B334,2)=6,WEEKDAY(B334,2)=7),"NO HÁBIL","HÁBIL"))</f>
        <v>HÁBIL</v>
      </c>
    </row>
    <row r="335" spans="1:18" ht="15.75" customHeight="1" x14ac:dyDescent="0.2">
      <c r="A335" s="22" t="s">
        <v>44</v>
      </c>
      <c r="B335" s="23">
        <v>46196</v>
      </c>
      <c r="C335" s="22" t="s">
        <v>11</v>
      </c>
      <c r="D335" s="22" t="s">
        <v>17</v>
      </c>
      <c r="E335" s="22" t="s">
        <v>14</v>
      </c>
      <c r="F335" s="22" t="s">
        <v>13</v>
      </c>
      <c r="G335" s="24">
        <v>0.71527777777777779</v>
      </c>
      <c r="H335" s="24">
        <f t="shared" si="26"/>
        <v>0.73958333333333337</v>
      </c>
      <c r="I335" s="8">
        <f t="shared" si="27"/>
        <v>2.430555555555558E-2</v>
      </c>
      <c r="J335" s="24">
        <v>0.70833333333333337</v>
      </c>
      <c r="K335" s="24">
        <v>0.71736111111111112</v>
      </c>
      <c r="L335" s="24">
        <f t="shared" si="24"/>
        <v>9.0277777777777457E-3</v>
      </c>
      <c r="M335" s="24">
        <v>0.74027777777777781</v>
      </c>
      <c r="N335" s="8">
        <f>+M335-K335</f>
        <v>2.2916666666666696E-2</v>
      </c>
      <c r="O335" s="24">
        <f>+L335+N335</f>
        <v>3.1944444444444442E-2</v>
      </c>
      <c r="P335" s="22">
        <v>3</v>
      </c>
      <c r="Q335" s="25" t="s">
        <v>48</v>
      </c>
      <c r="R335" s="22" t="str">
        <f>IF(COUNTIF(fest!$A$1:$A$18,B335)&gt;0,"FESTIVO", IF(OR(WEEKDAY(B335,2)=6,WEEKDAY(B335,2)=7),"NO HÁBIL","HÁBIL"))</f>
        <v>HÁBIL</v>
      </c>
    </row>
    <row r="336" spans="1:18" ht="15.75" customHeight="1" x14ac:dyDescent="0.2">
      <c r="A336" s="22" t="s">
        <v>44</v>
      </c>
      <c r="B336" s="23">
        <v>46196</v>
      </c>
      <c r="C336" s="22" t="s">
        <v>15</v>
      </c>
      <c r="D336" s="22" t="s">
        <v>17</v>
      </c>
      <c r="E336" s="22" t="s">
        <v>14</v>
      </c>
      <c r="F336" s="22" t="s">
        <v>13</v>
      </c>
      <c r="G336" s="24">
        <v>0.73958333333333337</v>
      </c>
      <c r="H336" s="24">
        <f t="shared" si="26"/>
        <v>0.76388888888888884</v>
      </c>
      <c r="I336" s="8">
        <f t="shared" si="27"/>
        <v>2.4305555555555469E-2</v>
      </c>
      <c r="J336" s="24">
        <v>0.74027777777777781</v>
      </c>
      <c r="K336" s="24">
        <v>0.74722222222222223</v>
      </c>
      <c r="L336" s="24">
        <f t="shared" si="24"/>
        <v>6.9444444444444198E-3</v>
      </c>
      <c r="M336" s="24">
        <v>0</v>
      </c>
      <c r="N336" s="8">
        <v>0</v>
      </c>
      <c r="O336" s="24">
        <v>0</v>
      </c>
      <c r="P336" s="22">
        <v>0</v>
      </c>
      <c r="Q336" s="25" t="s">
        <v>45</v>
      </c>
      <c r="R336" s="22" t="str">
        <f>IF(COUNTIF(fest!$A$1:$A$18,B336)&gt;0,"FESTIVO", IF(OR(WEEKDAY(B336,2)=6,WEEKDAY(B336,2)=7),"NO HÁBIL","HÁBIL"))</f>
        <v>HÁBIL</v>
      </c>
    </row>
    <row r="337" spans="1:18" ht="15.75" customHeight="1" x14ac:dyDescent="0.2">
      <c r="A337" s="22" t="s">
        <v>44</v>
      </c>
      <c r="B337" s="23">
        <v>46196</v>
      </c>
      <c r="C337" s="22" t="s">
        <v>16</v>
      </c>
      <c r="D337" s="22" t="s">
        <v>17</v>
      </c>
      <c r="E337" s="22" t="s">
        <v>14</v>
      </c>
      <c r="F337" s="22" t="s">
        <v>13</v>
      </c>
      <c r="G337" s="24">
        <v>0.76388888888888884</v>
      </c>
      <c r="H337" s="24">
        <f t="shared" si="26"/>
        <v>0.27083333333333331</v>
      </c>
      <c r="I337" s="8">
        <f t="shared" si="27"/>
        <v>-0.49305555555555552</v>
      </c>
      <c r="J337" s="24">
        <v>0.75902777777777775</v>
      </c>
      <c r="K337" s="24">
        <v>0.76597222222222228</v>
      </c>
      <c r="L337" s="24">
        <f t="shared" si="24"/>
        <v>6.9444444444445308E-3</v>
      </c>
      <c r="M337" s="24">
        <f>+K337+N337</f>
        <v>0.77743055555555562</v>
      </c>
      <c r="N337" s="8">
        <f>AVERAGE(N335:N336)</f>
        <v>1.1458333333333348E-2</v>
      </c>
      <c r="O337" s="24">
        <f>+L337+N337</f>
        <v>1.8402777777777879E-2</v>
      </c>
      <c r="P337" s="22">
        <v>5</v>
      </c>
      <c r="Q337" s="25" t="s">
        <v>48</v>
      </c>
      <c r="R337" s="22" t="str">
        <f>IF(COUNTIF(fest!$A$1:$A$18,B337)&gt;0,"FESTIVO", IF(OR(WEEKDAY(B337,2)=6,WEEKDAY(B337,2)=7),"NO HÁBIL","HÁBIL"))</f>
        <v>HÁBIL</v>
      </c>
    </row>
    <row r="338" spans="1:18" ht="15.75" customHeight="1" x14ac:dyDescent="0.2">
      <c r="A338" s="22" t="s">
        <v>43</v>
      </c>
      <c r="B338" s="23">
        <v>46197</v>
      </c>
      <c r="C338" s="22" t="s">
        <v>11</v>
      </c>
      <c r="D338" s="22" t="s">
        <v>12</v>
      </c>
      <c r="E338" s="22" t="s">
        <v>13</v>
      </c>
      <c r="F338" s="22" t="s">
        <v>14</v>
      </c>
      <c r="G338" s="24">
        <v>0.27083333333333331</v>
      </c>
      <c r="H338" s="24">
        <f t="shared" si="26"/>
        <v>0.29166666666666669</v>
      </c>
      <c r="I338" s="8">
        <f t="shared" si="27"/>
        <v>2.083333333333337E-2</v>
      </c>
      <c r="J338" s="24">
        <v>0.2638888888888889</v>
      </c>
      <c r="K338" s="24">
        <v>0.27291666666666664</v>
      </c>
      <c r="L338" s="24">
        <f t="shared" si="24"/>
        <v>9.0277777777777457E-3</v>
      </c>
      <c r="M338" s="24">
        <v>0.28819444444444442</v>
      </c>
      <c r="N338" s="8">
        <f>+M338-K338</f>
        <v>1.5277777777777779E-2</v>
      </c>
      <c r="O338" s="24">
        <f>+L338+N338</f>
        <v>2.4305555555555525E-2</v>
      </c>
      <c r="P338" s="22">
        <v>1</v>
      </c>
      <c r="Q338" s="25" t="s">
        <v>51</v>
      </c>
      <c r="R338" s="22" t="str">
        <f>IF(COUNTIF(fest!$A$1:$A$18,B338)&gt;0,"FESTIVO", IF(OR(WEEKDAY(B338,2)=6,WEEKDAY(B338,2)=7),"NO HÁBIL","HÁBIL"))</f>
        <v>HÁBIL</v>
      </c>
    </row>
    <row r="339" spans="1:18" ht="15.75" customHeight="1" x14ac:dyDescent="0.2">
      <c r="A339" s="22" t="s">
        <v>43</v>
      </c>
      <c r="B339" s="23">
        <v>46197</v>
      </c>
      <c r="C339" s="22" t="s">
        <v>15</v>
      </c>
      <c r="D339" s="22" t="s">
        <v>12</v>
      </c>
      <c r="E339" s="22" t="s">
        <v>13</v>
      </c>
      <c r="F339" s="22" t="s">
        <v>14</v>
      </c>
      <c r="G339" s="24">
        <v>0.29166666666666669</v>
      </c>
      <c r="H339" s="24">
        <f t="shared" si="26"/>
        <v>0.3125</v>
      </c>
      <c r="I339" s="8">
        <f t="shared" si="27"/>
        <v>2.0833333333333315E-2</v>
      </c>
      <c r="J339" s="24">
        <v>0.28819444444444442</v>
      </c>
      <c r="K339" s="24">
        <v>0.29444444444444445</v>
      </c>
      <c r="L339" s="24">
        <f t="shared" si="24"/>
        <v>6.2500000000000333E-3</v>
      </c>
      <c r="M339" s="24">
        <v>0.30972222222222223</v>
      </c>
      <c r="N339" s="8">
        <f>+M339-K339</f>
        <v>1.5277777777777779E-2</v>
      </c>
      <c r="O339" s="24">
        <f>+L339+N339</f>
        <v>2.1527777777777812E-2</v>
      </c>
      <c r="P339" s="22">
        <v>1</v>
      </c>
      <c r="Q339" s="25" t="s">
        <v>51</v>
      </c>
      <c r="R339" s="22" t="str">
        <f>IF(COUNTIF(fest!$A$1:$A$18,B339)&gt;0,"FESTIVO", IF(OR(WEEKDAY(B339,2)=6,WEEKDAY(B339,2)=7),"NO HÁBIL","HÁBIL"))</f>
        <v>HÁBIL</v>
      </c>
    </row>
    <row r="340" spans="1:18" ht="15.75" customHeight="1" x14ac:dyDescent="0.2">
      <c r="A340" s="22" t="s">
        <v>43</v>
      </c>
      <c r="B340" s="23">
        <v>46197</v>
      </c>
      <c r="C340" s="22" t="s">
        <v>16</v>
      </c>
      <c r="D340" s="22" t="s">
        <v>12</v>
      </c>
      <c r="E340" s="22" t="s">
        <v>13</v>
      </c>
      <c r="F340" s="22" t="s">
        <v>14</v>
      </c>
      <c r="G340" s="24">
        <v>0.3125</v>
      </c>
      <c r="H340" s="24">
        <f t="shared" si="26"/>
        <v>0.71527777777777779</v>
      </c>
      <c r="I340" s="8">
        <f t="shared" si="27"/>
        <v>0.40277777777777779</v>
      </c>
      <c r="J340" s="24">
        <v>0.30972222222222223</v>
      </c>
      <c r="K340" s="24">
        <v>0.31458333333333333</v>
      </c>
      <c r="L340" s="24">
        <f t="shared" si="24"/>
        <v>4.8611111111110938E-3</v>
      </c>
      <c r="M340" s="24">
        <f>+K340+N340</f>
        <v>0.3298611111111111</v>
      </c>
      <c r="N340" s="8">
        <f>AVERAGE(N338:N339)</f>
        <v>1.5277777777777779E-2</v>
      </c>
      <c r="O340" s="24">
        <f>+L340+N340</f>
        <v>2.0138888888888873E-2</v>
      </c>
      <c r="P340" s="22">
        <v>1</v>
      </c>
      <c r="Q340" s="25" t="s">
        <v>51</v>
      </c>
      <c r="R340" s="22" t="str">
        <f>IF(COUNTIF(fest!$A$1:$A$18,B340)&gt;0,"FESTIVO", IF(OR(WEEKDAY(B340,2)=6,WEEKDAY(B340,2)=7),"NO HÁBIL","HÁBIL"))</f>
        <v>HÁBIL</v>
      </c>
    </row>
    <row r="341" spans="1:18" ht="15.75" customHeight="1" x14ac:dyDescent="0.2">
      <c r="A341" s="22" t="s">
        <v>44</v>
      </c>
      <c r="B341" s="23">
        <v>46197</v>
      </c>
      <c r="C341" s="22" t="s">
        <v>11</v>
      </c>
      <c r="D341" s="22" t="s">
        <v>17</v>
      </c>
      <c r="E341" s="22" t="s">
        <v>14</v>
      </c>
      <c r="F341" s="22" t="s">
        <v>13</v>
      </c>
      <c r="G341" s="24">
        <v>0.71527777777777779</v>
      </c>
      <c r="H341" s="24">
        <f t="shared" si="26"/>
        <v>0.73958333333333337</v>
      </c>
      <c r="I341" s="8">
        <f t="shared" si="27"/>
        <v>2.430555555555558E-2</v>
      </c>
      <c r="J341" s="24">
        <v>0.70833333333333337</v>
      </c>
      <c r="K341" s="24">
        <v>0.71736111111111112</v>
      </c>
      <c r="L341" s="24">
        <f t="shared" si="24"/>
        <v>9.0277777777777457E-3</v>
      </c>
      <c r="M341" s="24">
        <v>0.73750000000000004</v>
      </c>
      <c r="N341" s="8">
        <f>+M341-K341</f>
        <v>2.0138888888888928E-2</v>
      </c>
      <c r="O341" s="24">
        <f>+L341+N341</f>
        <v>2.9166666666666674E-2</v>
      </c>
      <c r="P341" s="22">
        <v>5</v>
      </c>
      <c r="Q341" s="25" t="s">
        <v>48</v>
      </c>
      <c r="R341" s="22" t="str">
        <f>IF(COUNTIF(fest!$A$1:$A$18,B341)&gt;0,"FESTIVO", IF(OR(WEEKDAY(B341,2)=6,WEEKDAY(B341,2)=7),"NO HÁBIL","HÁBIL"))</f>
        <v>HÁBIL</v>
      </c>
    </row>
    <row r="342" spans="1:18" ht="15.75" customHeight="1" x14ac:dyDescent="0.2">
      <c r="A342" s="22" t="s">
        <v>44</v>
      </c>
      <c r="B342" s="23">
        <v>46197</v>
      </c>
      <c r="C342" s="22" t="s">
        <v>15</v>
      </c>
      <c r="D342" s="22" t="s">
        <v>17</v>
      </c>
      <c r="E342" s="22" t="s">
        <v>14</v>
      </c>
      <c r="F342" s="22" t="s">
        <v>13</v>
      </c>
      <c r="G342" s="24">
        <v>0.73958333333333337</v>
      </c>
      <c r="H342" s="24">
        <f t="shared" si="26"/>
        <v>0.76388888888888884</v>
      </c>
      <c r="I342" s="8">
        <f t="shared" si="27"/>
        <v>2.4305555555555469E-2</v>
      </c>
      <c r="J342" s="24">
        <v>0.73750000000000004</v>
      </c>
      <c r="K342" s="24">
        <v>0.74513888888888891</v>
      </c>
      <c r="L342" s="24">
        <f t="shared" si="24"/>
        <v>7.6388888888888618E-3</v>
      </c>
      <c r="M342" s="24">
        <v>0</v>
      </c>
      <c r="N342" s="8">
        <v>0</v>
      </c>
      <c r="O342" s="24">
        <v>0</v>
      </c>
      <c r="P342" s="22">
        <v>0</v>
      </c>
      <c r="Q342" s="25" t="s">
        <v>45</v>
      </c>
      <c r="R342" s="22" t="str">
        <f>IF(COUNTIF(fest!$A$1:$A$18,B342)&gt;0,"FESTIVO", IF(OR(WEEKDAY(B342,2)=6,WEEKDAY(B342,2)=7),"NO HÁBIL","HÁBIL"))</f>
        <v>HÁBIL</v>
      </c>
    </row>
    <row r="343" spans="1:18" ht="15.75" customHeight="1" x14ac:dyDescent="0.2">
      <c r="A343" s="22" t="s">
        <v>44</v>
      </c>
      <c r="B343" s="23">
        <v>46197</v>
      </c>
      <c r="C343" s="22" t="s">
        <v>16</v>
      </c>
      <c r="D343" s="22" t="s">
        <v>17</v>
      </c>
      <c r="E343" s="22" t="s">
        <v>14</v>
      </c>
      <c r="F343" s="22" t="s">
        <v>13</v>
      </c>
      <c r="G343" s="24">
        <v>0.76388888888888884</v>
      </c>
      <c r="H343" s="24">
        <f t="shared" si="26"/>
        <v>0.27083333333333331</v>
      </c>
      <c r="I343" s="8">
        <f t="shared" si="27"/>
        <v>-0.49305555555555552</v>
      </c>
      <c r="J343" s="24">
        <v>0.76041666666666663</v>
      </c>
      <c r="K343" s="24">
        <v>0.76666666666666672</v>
      </c>
      <c r="L343" s="24">
        <f t="shared" si="24"/>
        <v>6.2500000000000888E-3</v>
      </c>
      <c r="M343" s="24">
        <f>+K343+N343</f>
        <v>0.77673611111111118</v>
      </c>
      <c r="N343" s="8">
        <f>AVERAGE(N341:N342)</f>
        <v>1.0069444444444464E-2</v>
      </c>
      <c r="O343" s="24">
        <f>+L343+N343</f>
        <v>1.6319444444444553E-2</v>
      </c>
      <c r="P343" s="22">
        <v>3</v>
      </c>
      <c r="Q343" s="25" t="s">
        <v>48</v>
      </c>
      <c r="R343" s="22" t="str">
        <f>IF(COUNTIF(fest!$A$1:$A$18,B343)&gt;0,"FESTIVO", IF(OR(WEEKDAY(B343,2)=6,WEEKDAY(B343,2)=7),"NO HÁBIL","HÁBIL"))</f>
        <v>HÁBIL</v>
      </c>
    </row>
    <row r="344" spans="1:18" ht="15.75" customHeight="1" x14ac:dyDescent="0.2">
      <c r="A344" s="22" t="s">
        <v>43</v>
      </c>
      <c r="B344" s="23">
        <v>46198</v>
      </c>
      <c r="C344" s="22" t="s">
        <v>11</v>
      </c>
      <c r="D344" s="22" t="s">
        <v>12</v>
      </c>
      <c r="E344" s="22" t="s">
        <v>13</v>
      </c>
      <c r="F344" s="22" t="s">
        <v>14</v>
      </c>
      <c r="G344" s="24">
        <v>0.27083333333333331</v>
      </c>
      <c r="H344" s="24">
        <f t="shared" si="26"/>
        <v>0.29166666666666669</v>
      </c>
      <c r="I344" s="8">
        <f t="shared" si="27"/>
        <v>2.083333333333337E-2</v>
      </c>
      <c r="J344" s="24">
        <v>0.26458333333333334</v>
      </c>
      <c r="K344" s="24">
        <v>0.27291666666666664</v>
      </c>
      <c r="L344" s="24">
        <f t="shared" si="24"/>
        <v>8.3333333333333037E-3</v>
      </c>
      <c r="M344" s="24">
        <v>0.28819444444444442</v>
      </c>
      <c r="N344" s="8">
        <f>+M344-K344</f>
        <v>1.5277777777777779E-2</v>
      </c>
      <c r="O344" s="24">
        <f>+L344+N344</f>
        <v>2.3611111111111083E-2</v>
      </c>
      <c r="P344" s="22">
        <v>1</v>
      </c>
      <c r="Q344" s="25" t="s">
        <v>51</v>
      </c>
      <c r="R344" s="22" t="str">
        <f>IF(COUNTIF(fest!$A$1:$A$18,B344)&gt;0,"FESTIVO", IF(OR(WEEKDAY(B344,2)=6,WEEKDAY(B344,2)=7),"NO HÁBIL","HÁBIL"))</f>
        <v>HÁBIL</v>
      </c>
    </row>
    <row r="345" spans="1:18" ht="15.75" customHeight="1" x14ac:dyDescent="0.2">
      <c r="A345" s="22" t="s">
        <v>43</v>
      </c>
      <c r="B345" s="23">
        <v>46198</v>
      </c>
      <c r="C345" s="22" t="s">
        <v>15</v>
      </c>
      <c r="D345" s="22" t="s">
        <v>12</v>
      </c>
      <c r="E345" s="22" t="s">
        <v>13</v>
      </c>
      <c r="F345" s="22" t="s">
        <v>14</v>
      </c>
      <c r="G345" s="24">
        <v>0.29166666666666669</v>
      </c>
      <c r="H345" s="24">
        <f t="shared" si="26"/>
        <v>0.3125</v>
      </c>
      <c r="I345" s="8">
        <f t="shared" si="27"/>
        <v>2.0833333333333315E-2</v>
      </c>
      <c r="J345" s="24">
        <v>0.28819444444444442</v>
      </c>
      <c r="K345" s="24">
        <v>0.29722222222222222</v>
      </c>
      <c r="L345" s="24">
        <f t="shared" si="24"/>
        <v>9.0277777777778012E-3</v>
      </c>
      <c r="M345" s="24">
        <v>0</v>
      </c>
      <c r="N345" s="8">
        <v>0</v>
      </c>
      <c r="O345" s="24">
        <v>0</v>
      </c>
      <c r="P345" s="22">
        <v>0</v>
      </c>
      <c r="Q345" s="25" t="s">
        <v>51</v>
      </c>
      <c r="R345" s="22" t="str">
        <f>IF(COUNTIF(fest!$A$1:$A$18,B345)&gt;0,"FESTIVO", IF(OR(WEEKDAY(B345,2)=6,WEEKDAY(B345,2)=7),"NO HÁBIL","HÁBIL"))</f>
        <v>HÁBIL</v>
      </c>
    </row>
    <row r="346" spans="1:18" ht="15.75" customHeight="1" x14ac:dyDescent="0.2">
      <c r="A346" s="22" t="s">
        <v>43</v>
      </c>
      <c r="B346" s="23">
        <v>46198</v>
      </c>
      <c r="C346" s="22" t="s">
        <v>16</v>
      </c>
      <c r="D346" s="22" t="s">
        <v>12</v>
      </c>
      <c r="E346" s="22" t="s">
        <v>13</v>
      </c>
      <c r="F346" s="22" t="s">
        <v>14</v>
      </c>
      <c r="G346" s="24">
        <v>0.3125</v>
      </c>
      <c r="H346" s="24">
        <f t="shared" si="26"/>
        <v>0.71527777777777779</v>
      </c>
      <c r="I346" s="8">
        <f t="shared" si="27"/>
        <v>0.40277777777777779</v>
      </c>
      <c r="J346" s="24">
        <v>0.31041666666666667</v>
      </c>
      <c r="K346" s="24">
        <v>0.32222222222222224</v>
      </c>
      <c r="L346" s="24">
        <f t="shared" si="24"/>
        <v>1.1805555555555569E-2</v>
      </c>
      <c r="M346" s="24">
        <v>0</v>
      </c>
      <c r="N346" s="8">
        <v>0</v>
      </c>
      <c r="O346" s="24">
        <v>0</v>
      </c>
      <c r="P346" s="22">
        <v>0</v>
      </c>
      <c r="Q346" s="25" t="s">
        <v>51</v>
      </c>
      <c r="R346" s="22" t="str">
        <f>IF(COUNTIF(fest!$A$1:$A$18,B346)&gt;0,"FESTIVO", IF(OR(WEEKDAY(B346,2)=6,WEEKDAY(B346,2)=7),"NO HÁBIL","HÁBIL"))</f>
        <v>HÁBIL</v>
      </c>
    </row>
    <row r="347" spans="1:18" ht="15.75" customHeight="1" x14ac:dyDescent="0.2">
      <c r="A347" s="22" t="s">
        <v>44</v>
      </c>
      <c r="B347" s="23">
        <v>46198</v>
      </c>
      <c r="C347" s="22" t="s">
        <v>11</v>
      </c>
      <c r="D347" s="22" t="s">
        <v>17</v>
      </c>
      <c r="E347" s="22" t="s">
        <v>14</v>
      </c>
      <c r="F347" s="22" t="s">
        <v>13</v>
      </c>
      <c r="G347" s="24">
        <v>0.71527777777777779</v>
      </c>
      <c r="H347" s="24">
        <f t="shared" si="26"/>
        <v>0.73958333333333337</v>
      </c>
      <c r="I347" s="8">
        <f t="shared" si="27"/>
        <v>2.430555555555558E-2</v>
      </c>
      <c r="J347" s="24">
        <v>0.70902777777777781</v>
      </c>
      <c r="K347" s="24">
        <v>0.71736111111111112</v>
      </c>
      <c r="L347" s="24">
        <f t="shared" si="24"/>
        <v>8.3333333333333037E-3</v>
      </c>
      <c r="M347" s="24">
        <v>0.73888888888888893</v>
      </c>
      <c r="N347" s="8">
        <f>+M347-K347</f>
        <v>2.1527777777777812E-2</v>
      </c>
      <c r="O347" s="24">
        <f>+L347+N347</f>
        <v>2.9861111111111116E-2</v>
      </c>
      <c r="P347" s="22">
        <v>6</v>
      </c>
      <c r="Q347" s="25" t="s">
        <v>48</v>
      </c>
      <c r="R347" s="22" t="str">
        <f>IF(COUNTIF(fest!$A$1:$A$18,B347)&gt;0,"FESTIVO", IF(OR(WEEKDAY(B347,2)=6,WEEKDAY(B347,2)=7),"NO HÁBIL","HÁBIL"))</f>
        <v>HÁBIL</v>
      </c>
    </row>
    <row r="348" spans="1:18" ht="15.75" customHeight="1" x14ac:dyDescent="0.2">
      <c r="A348" s="22" t="s">
        <v>44</v>
      </c>
      <c r="B348" s="23">
        <v>46198</v>
      </c>
      <c r="C348" s="22" t="s">
        <v>15</v>
      </c>
      <c r="D348" s="22" t="s">
        <v>17</v>
      </c>
      <c r="E348" s="22" t="s">
        <v>14</v>
      </c>
      <c r="F348" s="22" t="s">
        <v>13</v>
      </c>
      <c r="G348" s="24">
        <v>0.73958333333333337</v>
      </c>
      <c r="H348" s="24">
        <f t="shared" si="26"/>
        <v>0.76388888888888884</v>
      </c>
      <c r="I348" s="8">
        <f t="shared" si="27"/>
        <v>2.4305555555555469E-2</v>
      </c>
      <c r="J348" s="24">
        <v>0.73888888888888893</v>
      </c>
      <c r="K348" s="24">
        <v>0.74652777777777779</v>
      </c>
      <c r="L348" s="24">
        <f t="shared" si="24"/>
        <v>7.6388888888888618E-3</v>
      </c>
      <c r="M348" s="24">
        <v>0.76111111111111107</v>
      </c>
      <c r="N348" s="8">
        <f>+M348-K348</f>
        <v>1.4583333333333282E-2</v>
      </c>
      <c r="O348" s="24">
        <f>+L348+N348</f>
        <v>2.2222222222222143E-2</v>
      </c>
      <c r="P348" s="22">
        <v>1</v>
      </c>
      <c r="Q348" s="25" t="s">
        <v>49</v>
      </c>
      <c r="R348" s="22" t="str">
        <f>IF(COUNTIF(fest!$A$1:$A$18,B348)&gt;0,"FESTIVO", IF(OR(WEEKDAY(B348,2)=6,WEEKDAY(B348,2)=7),"NO HÁBIL","HÁBIL"))</f>
        <v>HÁBIL</v>
      </c>
    </row>
    <row r="349" spans="1:18" ht="15.75" customHeight="1" x14ac:dyDescent="0.2">
      <c r="A349" s="22" t="s">
        <v>44</v>
      </c>
      <c r="B349" s="23">
        <v>46198</v>
      </c>
      <c r="C349" s="22" t="s">
        <v>16</v>
      </c>
      <c r="D349" s="22" t="s">
        <v>17</v>
      </c>
      <c r="E349" s="22" t="s">
        <v>14</v>
      </c>
      <c r="F349" s="22" t="s">
        <v>13</v>
      </c>
      <c r="G349" s="24">
        <v>0.76388888888888884</v>
      </c>
      <c r="H349" s="24">
        <f t="shared" si="26"/>
        <v>0.27083333333333331</v>
      </c>
      <c r="I349" s="8">
        <f t="shared" si="27"/>
        <v>-0.49305555555555552</v>
      </c>
      <c r="J349" s="24">
        <v>0.76111111111111107</v>
      </c>
      <c r="K349" s="24">
        <v>0.76597222222222228</v>
      </c>
      <c r="L349" s="24">
        <f t="shared" ref="L349:L365" si="28">+K349-J349</f>
        <v>4.8611111111112049E-3</v>
      </c>
      <c r="M349" s="24">
        <f>+K349+N349</f>
        <v>0.78402777777777777</v>
      </c>
      <c r="N349" s="8">
        <f>AVERAGE(N347:N348)</f>
        <v>1.8055555555555547E-2</v>
      </c>
      <c r="O349" s="24">
        <f>+L349+N349</f>
        <v>2.2916666666666752E-2</v>
      </c>
      <c r="P349" s="22">
        <v>2</v>
      </c>
      <c r="Q349" s="25" t="s">
        <v>47</v>
      </c>
      <c r="R349" s="22" t="str">
        <f>IF(COUNTIF(fest!$A$1:$A$18,B349)&gt;0,"FESTIVO", IF(OR(WEEKDAY(B349,2)=6,WEEKDAY(B349,2)=7),"NO HÁBIL","HÁBIL"))</f>
        <v>HÁBIL</v>
      </c>
    </row>
    <row r="350" spans="1:18" ht="15.75" customHeight="1" x14ac:dyDescent="0.2">
      <c r="A350" s="22" t="s">
        <v>43</v>
      </c>
      <c r="B350" s="23">
        <v>46199</v>
      </c>
      <c r="C350" s="22" t="s">
        <v>11</v>
      </c>
      <c r="D350" s="22" t="s">
        <v>12</v>
      </c>
      <c r="E350" s="22" t="s">
        <v>13</v>
      </c>
      <c r="F350" s="22" t="s">
        <v>14</v>
      </c>
      <c r="G350" s="24">
        <v>0.27083333333333331</v>
      </c>
      <c r="H350" s="24">
        <f t="shared" si="26"/>
        <v>0.29166666666666669</v>
      </c>
      <c r="I350" s="8">
        <f t="shared" si="27"/>
        <v>2.083333333333337E-2</v>
      </c>
      <c r="J350" s="24">
        <v>0.26458333333333334</v>
      </c>
      <c r="K350" s="24">
        <v>0.27291666666666664</v>
      </c>
      <c r="L350" s="24">
        <f t="shared" si="28"/>
        <v>8.3333333333333037E-3</v>
      </c>
      <c r="M350" s="24">
        <v>0.28749999999999998</v>
      </c>
      <c r="N350" s="8">
        <f>+M350-K350</f>
        <v>1.4583333333333337E-2</v>
      </c>
      <c r="O350" s="24">
        <f>+L350+N350</f>
        <v>2.2916666666666641E-2</v>
      </c>
      <c r="P350" s="22">
        <v>1</v>
      </c>
      <c r="Q350" s="25" t="s">
        <v>51</v>
      </c>
      <c r="R350" s="22" t="str">
        <f>IF(COUNTIF(fest!$A$1:$A$18,B350)&gt;0,"FESTIVO", IF(OR(WEEKDAY(B350,2)=6,WEEKDAY(B350,2)=7),"NO HÁBIL","HÁBIL"))</f>
        <v>HÁBIL</v>
      </c>
    </row>
    <row r="351" spans="1:18" ht="15.75" customHeight="1" x14ac:dyDescent="0.2">
      <c r="A351" s="22" t="s">
        <v>43</v>
      </c>
      <c r="B351" s="23">
        <v>46199</v>
      </c>
      <c r="C351" s="22" t="s">
        <v>15</v>
      </c>
      <c r="D351" s="22" t="s">
        <v>12</v>
      </c>
      <c r="E351" s="22" t="s">
        <v>13</v>
      </c>
      <c r="F351" s="22" t="s">
        <v>14</v>
      </c>
      <c r="G351" s="24">
        <v>0.29166666666666669</v>
      </c>
      <c r="H351" s="24">
        <f t="shared" si="26"/>
        <v>0.3125</v>
      </c>
      <c r="I351" s="8">
        <f t="shared" si="27"/>
        <v>2.0833333333333315E-2</v>
      </c>
      <c r="J351" s="24">
        <v>0.28749999999999998</v>
      </c>
      <c r="K351" s="24">
        <v>0.2986111111111111</v>
      </c>
      <c r="L351" s="24">
        <f t="shared" si="28"/>
        <v>1.1111111111111127E-2</v>
      </c>
      <c r="M351" s="24">
        <v>0</v>
      </c>
      <c r="N351" s="8">
        <v>0</v>
      </c>
      <c r="O351" s="24">
        <v>0</v>
      </c>
      <c r="P351" s="22">
        <v>0</v>
      </c>
      <c r="Q351" s="25" t="s">
        <v>51</v>
      </c>
      <c r="R351" s="22" t="str">
        <f>IF(COUNTIF(fest!$A$1:$A$18,B351)&gt;0,"FESTIVO", IF(OR(WEEKDAY(B351,2)=6,WEEKDAY(B351,2)=7),"NO HÁBIL","HÁBIL"))</f>
        <v>HÁBIL</v>
      </c>
    </row>
    <row r="352" spans="1:18" ht="15.75" customHeight="1" x14ac:dyDescent="0.2">
      <c r="A352" s="22" t="s">
        <v>43</v>
      </c>
      <c r="B352" s="23">
        <v>46199</v>
      </c>
      <c r="C352" s="22" t="s">
        <v>16</v>
      </c>
      <c r="D352" s="22" t="s">
        <v>12</v>
      </c>
      <c r="E352" s="22" t="s">
        <v>13</v>
      </c>
      <c r="F352" s="22" t="s">
        <v>14</v>
      </c>
      <c r="G352" s="24">
        <v>0.3125</v>
      </c>
      <c r="H352" s="24">
        <f t="shared" si="26"/>
        <v>0.71527777777777779</v>
      </c>
      <c r="I352" s="8">
        <f t="shared" si="27"/>
        <v>0.40277777777777779</v>
      </c>
      <c r="J352" s="24">
        <v>0.30902777777777779</v>
      </c>
      <c r="K352" s="24">
        <v>0.31458333333333333</v>
      </c>
      <c r="L352" s="24">
        <f t="shared" si="28"/>
        <v>5.5555555555555358E-3</v>
      </c>
      <c r="M352" s="24">
        <f>+K352+N352</f>
        <v>0.32187500000000002</v>
      </c>
      <c r="N352" s="8">
        <f>AVERAGE(N350:N351)</f>
        <v>7.2916666666666685E-3</v>
      </c>
      <c r="O352" s="24">
        <f>+L352+N352</f>
        <v>1.2847222222222204E-2</v>
      </c>
      <c r="P352" s="22">
        <v>1</v>
      </c>
      <c r="Q352" s="25" t="s">
        <v>51</v>
      </c>
      <c r="R352" s="22" t="str">
        <f>IF(COUNTIF(fest!$A$1:$A$18,B352)&gt;0,"FESTIVO", IF(OR(WEEKDAY(B352,2)=6,WEEKDAY(B352,2)=7),"NO HÁBIL","HÁBIL"))</f>
        <v>HÁBIL</v>
      </c>
    </row>
    <row r="353" spans="1:42" ht="15.75" customHeight="1" x14ac:dyDescent="0.2">
      <c r="A353" s="22" t="s">
        <v>44</v>
      </c>
      <c r="B353" s="23">
        <v>46199</v>
      </c>
      <c r="C353" s="22" t="s">
        <v>11</v>
      </c>
      <c r="D353" s="22" t="s">
        <v>17</v>
      </c>
      <c r="E353" s="22" t="s">
        <v>14</v>
      </c>
      <c r="F353" s="22" t="s">
        <v>13</v>
      </c>
      <c r="G353" s="24">
        <v>0.71527777777777779</v>
      </c>
      <c r="H353" s="24">
        <f t="shared" si="26"/>
        <v>0.73958333333333337</v>
      </c>
      <c r="I353" s="8">
        <f t="shared" si="27"/>
        <v>2.430555555555558E-2</v>
      </c>
      <c r="J353" s="24">
        <v>0.66597222222222219</v>
      </c>
      <c r="K353" s="24">
        <v>0.67638888888888893</v>
      </c>
      <c r="L353" s="24">
        <f t="shared" si="28"/>
        <v>1.0416666666666741E-2</v>
      </c>
      <c r="M353" s="24">
        <v>0.69027777777777777</v>
      </c>
      <c r="N353" s="8">
        <f>+M353-K353</f>
        <v>1.388888888888884E-2</v>
      </c>
      <c r="O353" s="24">
        <f>+L353+N353</f>
        <v>2.430555555555558E-2</v>
      </c>
      <c r="P353" s="22">
        <v>1</v>
      </c>
      <c r="Q353" s="25" t="s">
        <v>49</v>
      </c>
      <c r="R353" s="22" t="str">
        <f>IF(COUNTIF(fest!$A$1:$A$18,B353)&gt;0,"FESTIVO", IF(OR(WEEKDAY(B353,2)=6,WEEKDAY(B353,2)=7),"NO HÁBIL","HÁBIL"))</f>
        <v>HÁBIL</v>
      </c>
    </row>
    <row r="354" spans="1:42" ht="15.75" customHeight="1" x14ac:dyDescent="0.2">
      <c r="A354" s="22" t="s">
        <v>44</v>
      </c>
      <c r="B354" s="23">
        <v>46199</v>
      </c>
      <c r="C354" s="22" t="s">
        <v>15</v>
      </c>
      <c r="D354" s="22" t="s">
        <v>17</v>
      </c>
      <c r="E354" s="22" t="s">
        <v>14</v>
      </c>
      <c r="F354" s="22" t="s">
        <v>13</v>
      </c>
      <c r="G354" s="24">
        <v>0.73958333333333337</v>
      </c>
      <c r="H354" s="24">
        <f t="shared" si="26"/>
        <v>0.76388888888888884</v>
      </c>
      <c r="I354" s="8">
        <f t="shared" si="27"/>
        <v>2.4305555555555469E-2</v>
      </c>
      <c r="J354" s="24">
        <v>0.69027777777777777</v>
      </c>
      <c r="K354" s="24">
        <v>0.70486111111111116</v>
      </c>
      <c r="L354" s="24">
        <f t="shared" si="28"/>
        <v>1.4583333333333393E-2</v>
      </c>
      <c r="M354" s="24">
        <v>0</v>
      </c>
      <c r="N354" s="8">
        <v>0</v>
      </c>
      <c r="O354" s="24">
        <v>0</v>
      </c>
      <c r="P354" s="22">
        <v>0</v>
      </c>
      <c r="Q354" s="25" t="s">
        <v>45</v>
      </c>
      <c r="R354" s="22" t="str">
        <f>IF(COUNTIF(fest!$A$1:$A$18,B354)&gt;0,"FESTIVO", IF(OR(WEEKDAY(B354,2)=6,WEEKDAY(B354,2)=7),"NO HÁBIL","HÁBIL"))</f>
        <v>HÁBIL</v>
      </c>
    </row>
    <row r="355" spans="1:42" ht="15.75" customHeight="1" x14ac:dyDescent="0.2">
      <c r="A355" s="22" t="s">
        <v>44</v>
      </c>
      <c r="B355" s="23">
        <v>46199</v>
      </c>
      <c r="C355" s="22" t="s">
        <v>16</v>
      </c>
      <c r="D355" s="22" t="s">
        <v>17</v>
      </c>
      <c r="E355" s="22" t="s">
        <v>14</v>
      </c>
      <c r="F355" s="22" t="s">
        <v>13</v>
      </c>
      <c r="G355" s="24">
        <v>0.76388888888888884</v>
      </c>
      <c r="H355" s="24">
        <f t="shared" si="26"/>
        <v>0.27083333333333331</v>
      </c>
      <c r="I355" s="8">
        <f t="shared" si="27"/>
        <v>-0.49305555555555552</v>
      </c>
      <c r="J355" s="24">
        <v>0.71944444444444444</v>
      </c>
      <c r="K355" s="24">
        <v>0.72430555555555554</v>
      </c>
      <c r="L355" s="24">
        <f t="shared" si="28"/>
        <v>4.8611111111110938E-3</v>
      </c>
      <c r="M355" s="24">
        <f>+K355+N355</f>
        <v>0.73124999999999996</v>
      </c>
      <c r="N355" s="8">
        <f>AVERAGE(N353:N354)</f>
        <v>6.9444444444444198E-3</v>
      </c>
      <c r="O355" s="24">
        <f t="shared" ref="O355:O361" si="29">+L355+N355</f>
        <v>1.1805555555555514E-2</v>
      </c>
      <c r="P355" s="22">
        <v>2</v>
      </c>
      <c r="Q355" s="25" t="s">
        <v>48</v>
      </c>
      <c r="R355" s="22" t="str">
        <f>IF(COUNTIF(fest!$A$1:$A$18,B355)&gt;0,"FESTIVO", IF(OR(WEEKDAY(B355,2)=6,WEEKDAY(B355,2)=7),"NO HÁBIL","HÁBIL"))</f>
        <v>HÁBIL</v>
      </c>
    </row>
    <row r="356" spans="1:42" ht="15.75" customHeight="1" x14ac:dyDescent="0.2">
      <c r="A356" s="22" t="s">
        <v>43</v>
      </c>
      <c r="B356" s="23">
        <v>46203</v>
      </c>
      <c r="C356" s="22" t="s">
        <v>11</v>
      </c>
      <c r="D356" s="22" t="s">
        <v>12</v>
      </c>
      <c r="E356" s="22" t="s">
        <v>13</v>
      </c>
      <c r="F356" s="22" t="s">
        <v>14</v>
      </c>
      <c r="G356" s="24">
        <v>0.27083333333333331</v>
      </c>
      <c r="H356" s="24">
        <f t="shared" si="26"/>
        <v>0.29166666666666669</v>
      </c>
      <c r="I356" s="8">
        <f t="shared" si="27"/>
        <v>2.083333333333337E-2</v>
      </c>
      <c r="J356" s="24">
        <v>0.2638888888888889</v>
      </c>
      <c r="K356" s="24">
        <v>0.2722222222222222</v>
      </c>
      <c r="L356" s="24">
        <f t="shared" si="28"/>
        <v>8.3333333333333037E-3</v>
      </c>
      <c r="M356" s="24">
        <v>0.28680555555555554</v>
      </c>
      <c r="N356" s="8">
        <f>+M356-K356</f>
        <v>1.4583333333333337E-2</v>
      </c>
      <c r="O356" s="24">
        <f t="shared" si="29"/>
        <v>2.2916666666666641E-2</v>
      </c>
      <c r="P356" s="22">
        <v>1</v>
      </c>
      <c r="Q356" s="25" t="s">
        <v>51</v>
      </c>
      <c r="R356" s="22" t="str">
        <f>IF(COUNTIF(fest!$A$1:$A$18,B356)&gt;0,"FESTIVO", IF(OR(WEEKDAY(B356,2)=6,WEEKDAY(B356,2)=7),"NO HÁBIL","HÁBIL"))</f>
        <v>HÁBIL</v>
      </c>
    </row>
    <row r="357" spans="1:42" ht="15.75" customHeight="1" x14ac:dyDescent="0.2">
      <c r="A357" s="22" t="s">
        <v>43</v>
      </c>
      <c r="B357" s="23">
        <v>46203</v>
      </c>
      <c r="C357" s="22" t="s">
        <v>15</v>
      </c>
      <c r="D357" s="22" t="s">
        <v>12</v>
      </c>
      <c r="E357" s="22" t="s">
        <v>13</v>
      </c>
      <c r="F357" s="22" t="s">
        <v>14</v>
      </c>
      <c r="G357" s="24">
        <v>0.29166666666666669</v>
      </c>
      <c r="H357" s="24">
        <f t="shared" si="26"/>
        <v>0.3125</v>
      </c>
      <c r="I357" s="8">
        <f t="shared" si="27"/>
        <v>2.0833333333333315E-2</v>
      </c>
      <c r="J357" s="24">
        <v>0.28680555555555554</v>
      </c>
      <c r="K357" s="24">
        <v>0.29791666666666666</v>
      </c>
      <c r="L357" s="24">
        <f t="shared" si="28"/>
        <v>1.1111111111111127E-2</v>
      </c>
      <c r="M357" s="24">
        <v>0.31111111111111112</v>
      </c>
      <c r="N357" s="8">
        <f>+M357-K357</f>
        <v>1.3194444444444453E-2</v>
      </c>
      <c r="O357" s="24">
        <f t="shared" si="29"/>
        <v>2.430555555555558E-2</v>
      </c>
      <c r="P357" s="22">
        <v>0</v>
      </c>
      <c r="Q357" s="25" t="s">
        <v>51</v>
      </c>
      <c r="R357" s="22" t="str">
        <f>IF(COUNTIF(fest!$A$1:$A$18,B357)&gt;0,"FESTIVO", IF(OR(WEEKDAY(B357,2)=6,WEEKDAY(B357,2)=7),"NO HÁBIL","HÁBIL"))</f>
        <v>HÁBIL</v>
      </c>
    </row>
    <row r="358" spans="1:42" ht="15.75" customHeight="1" x14ac:dyDescent="0.2">
      <c r="A358" s="22" t="s">
        <v>43</v>
      </c>
      <c r="B358" s="23">
        <v>46203</v>
      </c>
      <c r="C358" s="22" t="s">
        <v>16</v>
      </c>
      <c r="D358" s="22" t="s">
        <v>12</v>
      </c>
      <c r="E358" s="22" t="s">
        <v>13</v>
      </c>
      <c r="F358" s="22" t="s">
        <v>14</v>
      </c>
      <c r="G358" s="24">
        <v>0.3125</v>
      </c>
      <c r="H358" s="24">
        <f t="shared" si="26"/>
        <v>0.71527777777777779</v>
      </c>
      <c r="I358" s="8">
        <f t="shared" si="27"/>
        <v>0.40277777777777779</v>
      </c>
      <c r="J358" s="24">
        <v>0.31111111111111112</v>
      </c>
      <c r="K358" s="24">
        <v>0.31805555555555554</v>
      </c>
      <c r="L358" s="24">
        <f t="shared" si="28"/>
        <v>6.9444444444444198E-3</v>
      </c>
      <c r="M358" s="24">
        <f>+K358+N358</f>
        <v>0.33194444444444443</v>
      </c>
      <c r="N358" s="8">
        <f>AVERAGE(N356:N357)</f>
        <v>1.3888888888888895E-2</v>
      </c>
      <c r="O358" s="24">
        <f t="shared" si="29"/>
        <v>2.0833333333333315E-2</v>
      </c>
      <c r="P358" s="22">
        <v>0</v>
      </c>
      <c r="Q358" s="25" t="s">
        <v>51</v>
      </c>
      <c r="R358" s="22" t="str">
        <f>IF(COUNTIF(fest!$A$1:$A$18,B358)&gt;0,"FESTIVO", IF(OR(WEEKDAY(B358,2)=6,WEEKDAY(B358,2)=7),"NO HÁBIL","HÁBIL"))</f>
        <v>HÁBIL</v>
      </c>
    </row>
    <row r="359" spans="1:42" ht="15.75" customHeight="1" x14ac:dyDescent="0.2">
      <c r="A359" s="22" t="s">
        <v>44</v>
      </c>
      <c r="B359" s="23">
        <v>46203</v>
      </c>
      <c r="C359" s="22" t="s">
        <v>11</v>
      </c>
      <c r="D359" s="22" t="s">
        <v>17</v>
      </c>
      <c r="E359" s="22" t="s">
        <v>14</v>
      </c>
      <c r="F359" s="22" t="s">
        <v>13</v>
      </c>
      <c r="G359" s="24">
        <v>0.71527777777777779</v>
      </c>
      <c r="H359" s="24">
        <f t="shared" si="26"/>
        <v>0.73958333333333337</v>
      </c>
      <c r="I359" s="8">
        <f t="shared" si="27"/>
        <v>2.430555555555558E-2</v>
      </c>
      <c r="J359" s="24">
        <v>0.71180555555555558</v>
      </c>
      <c r="K359" s="24">
        <v>0.71805555555555556</v>
      </c>
      <c r="L359" s="24">
        <f t="shared" si="28"/>
        <v>6.2499999999999778E-3</v>
      </c>
      <c r="M359" s="24">
        <v>0.73472222222222228</v>
      </c>
      <c r="N359" s="8">
        <f>+M359-K359</f>
        <v>1.6666666666666718E-2</v>
      </c>
      <c r="O359" s="24">
        <f t="shared" si="29"/>
        <v>2.2916666666666696E-2</v>
      </c>
      <c r="P359" s="22">
        <v>3</v>
      </c>
      <c r="Q359" s="25" t="s">
        <v>48</v>
      </c>
      <c r="R359" s="22" t="str">
        <f>IF(COUNTIF(fest!$A$1:$A$18,B359)&gt;0,"FESTIVO", IF(OR(WEEKDAY(B359,2)=6,WEEKDAY(B359,2)=7),"NO HÁBIL","HÁBIL"))</f>
        <v>HÁBIL</v>
      </c>
    </row>
    <row r="360" spans="1:42" ht="15.75" customHeight="1" x14ac:dyDescent="0.2">
      <c r="A360" s="22" t="s">
        <v>44</v>
      </c>
      <c r="B360" s="23">
        <v>46203</v>
      </c>
      <c r="C360" s="22" t="s">
        <v>15</v>
      </c>
      <c r="D360" s="22" t="s">
        <v>17</v>
      </c>
      <c r="E360" s="22" t="s">
        <v>14</v>
      </c>
      <c r="F360" s="22" t="s">
        <v>13</v>
      </c>
      <c r="G360" s="24">
        <v>0.73958333333333337</v>
      </c>
      <c r="H360" s="24">
        <f t="shared" si="26"/>
        <v>0.76388888888888884</v>
      </c>
      <c r="I360" s="8">
        <f t="shared" si="27"/>
        <v>2.4305555555555469E-2</v>
      </c>
      <c r="J360" s="24">
        <v>0.73472222222222228</v>
      </c>
      <c r="K360" s="24">
        <v>0.7416666666666667</v>
      </c>
      <c r="L360" s="24">
        <f t="shared" si="28"/>
        <v>6.9444444444444198E-3</v>
      </c>
      <c r="M360" s="24">
        <v>0.75694444444444442</v>
      </c>
      <c r="N360" s="8">
        <f>+M360-K360</f>
        <v>1.5277777777777724E-2</v>
      </c>
      <c r="O360" s="24">
        <f t="shared" si="29"/>
        <v>2.2222222222222143E-2</v>
      </c>
      <c r="P360" s="22">
        <v>4</v>
      </c>
      <c r="Q360" s="25" t="s">
        <v>48</v>
      </c>
      <c r="R360" s="22" t="str">
        <f>IF(COUNTIF(fest!$A$1:$A$18,B360)&gt;0,"FESTIVO", IF(OR(WEEKDAY(B360,2)=6,WEEKDAY(B360,2)=7),"NO HÁBIL","HÁBIL"))</f>
        <v>HÁBIL</v>
      </c>
    </row>
    <row r="361" spans="1:42" ht="15.75" customHeight="1" x14ac:dyDescent="0.2">
      <c r="A361" s="22" t="s">
        <v>44</v>
      </c>
      <c r="B361" s="23">
        <v>46203</v>
      </c>
      <c r="C361" s="22" t="s">
        <v>16</v>
      </c>
      <c r="D361" s="22" t="s">
        <v>17</v>
      </c>
      <c r="E361" s="22" t="s">
        <v>14</v>
      </c>
      <c r="F361" s="22" t="s">
        <v>13</v>
      </c>
      <c r="G361" s="24">
        <v>0.76388888888888884</v>
      </c>
      <c r="H361" s="24">
        <f t="shared" si="26"/>
        <v>0.27083333333333331</v>
      </c>
      <c r="I361" s="8">
        <f t="shared" si="27"/>
        <v>-0.49305555555555552</v>
      </c>
      <c r="J361" s="24">
        <v>0.75694444444444442</v>
      </c>
      <c r="K361" s="24">
        <v>0.76527777777777772</v>
      </c>
      <c r="L361" s="24">
        <f t="shared" si="28"/>
        <v>8.3333333333333037E-3</v>
      </c>
      <c r="M361" s="24">
        <f>+K361+N361</f>
        <v>0.78125</v>
      </c>
      <c r="N361" s="8">
        <f>AVERAGE(N359:N360)</f>
        <v>1.5972222222222221E-2</v>
      </c>
      <c r="O361" s="24">
        <f t="shared" si="29"/>
        <v>2.4305555555555525E-2</v>
      </c>
      <c r="P361" s="22">
        <v>2</v>
      </c>
      <c r="Q361" s="25" t="s">
        <v>50</v>
      </c>
      <c r="R361" s="22" t="str">
        <f>IF(COUNTIF(fest!$A$1:$A$18,B361)&gt;0,"FESTIVO", IF(OR(WEEKDAY(B361,2)=6,WEEKDAY(B361,2)=7),"NO HÁBIL","HÁBIL"))</f>
        <v>HÁBIL</v>
      </c>
    </row>
    <row r="362" spans="1:42" s="20" customFormat="1" ht="15.75" customHeight="1" x14ac:dyDescent="0.2">
      <c r="A362" s="22" t="s">
        <v>43</v>
      </c>
      <c r="B362" s="23">
        <v>46204</v>
      </c>
      <c r="C362" s="22" t="s">
        <v>11</v>
      </c>
      <c r="D362" s="22" t="s">
        <v>12</v>
      </c>
      <c r="E362" s="22" t="s">
        <v>13</v>
      </c>
      <c r="F362" s="22" t="s">
        <v>14</v>
      </c>
      <c r="G362" s="24">
        <v>0.27083333333333331</v>
      </c>
      <c r="H362" s="24">
        <f t="shared" si="26"/>
        <v>0.29166666666666669</v>
      </c>
      <c r="I362" s="8">
        <f t="shared" si="27"/>
        <v>2.083333333333337E-2</v>
      </c>
      <c r="J362" s="24">
        <v>0.26527777777777778</v>
      </c>
      <c r="K362" s="24">
        <v>0.27361111111111114</v>
      </c>
      <c r="L362" s="24">
        <f t="shared" si="28"/>
        <v>8.3333333333333592E-3</v>
      </c>
      <c r="M362" s="24">
        <v>0</v>
      </c>
      <c r="N362" s="8">
        <v>0</v>
      </c>
      <c r="O362" s="24">
        <v>0</v>
      </c>
      <c r="P362" s="22">
        <v>0</v>
      </c>
      <c r="Q362" s="25" t="s">
        <v>51</v>
      </c>
      <c r="R362" s="22" t="str">
        <f>IF(COUNTIF(fest!$A$1:$A$18,B362)&gt;0,"FESTIVO", IF(OR(WEEKDAY(B362,2)=6,WEEKDAY(B362,2)=7),"NO HÁBIL","HÁBIL"))</f>
        <v>HÁBIL</v>
      </c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</row>
    <row r="363" spans="1:42" ht="15.75" customHeight="1" x14ac:dyDescent="0.2">
      <c r="A363" s="22" t="s">
        <v>43</v>
      </c>
      <c r="B363" s="23">
        <v>46204</v>
      </c>
      <c r="C363" s="22" t="s">
        <v>15</v>
      </c>
      <c r="D363" s="22" t="s">
        <v>12</v>
      </c>
      <c r="E363" s="22" t="s">
        <v>13</v>
      </c>
      <c r="F363" s="22" t="s">
        <v>14</v>
      </c>
      <c r="G363" s="24">
        <v>0.29166666666666669</v>
      </c>
      <c r="H363" s="24">
        <f t="shared" si="26"/>
        <v>0.3125</v>
      </c>
      <c r="I363" s="8">
        <f t="shared" si="27"/>
        <v>2.0833333333333315E-2</v>
      </c>
      <c r="J363" s="24">
        <v>0.28194444444444444</v>
      </c>
      <c r="K363" s="24">
        <v>0.29305555555555557</v>
      </c>
      <c r="L363" s="24">
        <f t="shared" si="28"/>
        <v>1.1111111111111127E-2</v>
      </c>
      <c r="M363" s="24">
        <v>0.30833333333333335</v>
      </c>
      <c r="N363" s="8">
        <f t="shared" ref="N363:N371" si="30">+M363-K363</f>
        <v>1.5277777777777779E-2</v>
      </c>
      <c r="O363" s="24">
        <f t="shared" ref="O363:O383" si="31">+L363+N363</f>
        <v>2.6388888888888906E-2</v>
      </c>
      <c r="P363" s="22">
        <v>2</v>
      </c>
      <c r="Q363" s="25" t="s">
        <v>51</v>
      </c>
      <c r="R363" s="22" t="str">
        <f>IF(COUNTIF(fest!$A$1:$A$18,B363)&gt;0,"FESTIVO", IF(OR(WEEKDAY(B363,2)=6,WEEKDAY(B363,2)=7),"NO HÁBIL","HÁBIL"))</f>
        <v>HÁBIL</v>
      </c>
    </row>
    <row r="364" spans="1:42" ht="15.75" customHeight="1" x14ac:dyDescent="0.2">
      <c r="A364" s="22" t="s">
        <v>43</v>
      </c>
      <c r="B364" s="23">
        <v>46204</v>
      </c>
      <c r="C364" s="22" t="s">
        <v>16</v>
      </c>
      <c r="D364" s="22" t="s">
        <v>12</v>
      </c>
      <c r="E364" s="22" t="s">
        <v>13</v>
      </c>
      <c r="F364" s="22" t="s">
        <v>14</v>
      </c>
      <c r="G364" s="24">
        <v>0.3125</v>
      </c>
      <c r="H364" s="24">
        <f t="shared" si="26"/>
        <v>0.71527777777777779</v>
      </c>
      <c r="I364" s="8">
        <f t="shared" si="27"/>
        <v>0.40277777777777779</v>
      </c>
      <c r="J364" s="24">
        <v>0.30833333333333335</v>
      </c>
      <c r="K364" s="24">
        <v>0.31458333333333333</v>
      </c>
      <c r="L364" s="24">
        <f t="shared" si="28"/>
        <v>6.2499999999999778E-3</v>
      </c>
      <c r="M364" s="24">
        <v>0.33194444444444443</v>
      </c>
      <c r="N364" s="8">
        <f t="shared" si="30"/>
        <v>1.7361111111111105E-2</v>
      </c>
      <c r="O364" s="24">
        <f t="shared" si="31"/>
        <v>2.3611111111111083E-2</v>
      </c>
      <c r="P364" s="22">
        <v>1</v>
      </c>
      <c r="Q364" s="25" t="s">
        <v>51</v>
      </c>
      <c r="R364" s="22" t="str">
        <f>IF(COUNTIF(fest!$A$1:$A$18,B364)&gt;0,"FESTIVO", IF(OR(WEEKDAY(B364,2)=6,WEEKDAY(B364,2)=7),"NO HÁBIL","HÁBIL"))</f>
        <v>HÁBIL</v>
      </c>
    </row>
    <row r="365" spans="1:42" ht="15.75" customHeight="1" x14ac:dyDescent="0.2">
      <c r="A365" s="22" t="s">
        <v>44</v>
      </c>
      <c r="B365" s="23">
        <v>46204</v>
      </c>
      <c r="C365" s="22" t="s">
        <v>11</v>
      </c>
      <c r="D365" s="22" t="s">
        <v>17</v>
      </c>
      <c r="E365" s="22" t="s">
        <v>14</v>
      </c>
      <c r="F365" s="22" t="s">
        <v>13</v>
      </c>
      <c r="G365" s="24">
        <v>0.71527777777777779</v>
      </c>
      <c r="H365" s="24">
        <f t="shared" si="26"/>
        <v>0.73958333333333337</v>
      </c>
      <c r="I365" s="8">
        <f t="shared" si="27"/>
        <v>2.430555555555558E-2</v>
      </c>
      <c r="J365" s="24">
        <v>0.70833333333333337</v>
      </c>
      <c r="K365" s="24">
        <v>0.71736111111111112</v>
      </c>
      <c r="L365" s="24">
        <f t="shared" si="28"/>
        <v>9.0277777777777457E-3</v>
      </c>
      <c r="M365" s="24">
        <v>0.73472222222222228</v>
      </c>
      <c r="N365" s="8">
        <f t="shared" si="30"/>
        <v>1.736111111111116E-2</v>
      </c>
      <c r="O365" s="24">
        <f t="shared" si="31"/>
        <v>2.6388888888888906E-2</v>
      </c>
      <c r="P365" s="22">
        <v>5</v>
      </c>
      <c r="Q365" s="25" t="s">
        <v>49</v>
      </c>
      <c r="R365" s="22" t="str">
        <f>IF(COUNTIF(fest!$A$1:$A$18,B365)&gt;0,"FESTIVO", IF(OR(WEEKDAY(B365,2)=6,WEEKDAY(B365,2)=7),"NO HÁBIL","HÁBIL"))</f>
        <v>HÁBIL</v>
      </c>
    </row>
    <row r="366" spans="1:42" ht="15.75" customHeight="1" x14ac:dyDescent="0.2">
      <c r="A366" s="22" t="s">
        <v>44</v>
      </c>
      <c r="B366" s="23">
        <v>46204</v>
      </c>
      <c r="C366" s="22" t="s">
        <v>15</v>
      </c>
      <c r="D366" s="22" t="s">
        <v>17</v>
      </c>
      <c r="E366" s="22" t="s">
        <v>14</v>
      </c>
      <c r="F366" s="22" t="s">
        <v>13</v>
      </c>
      <c r="G366" s="24">
        <v>0.73958333333333337</v>
      </c>
      <c r="H366" s="24">
        <f t="shared" si="26"/>
        <v>0.76388888888888884</v>
      </c>
      <c r="I366" s="8">
        <f t="shared" si="27"/>
        <v>2.4305555555555469E-2</v>
      </c>
      <c r="J366" s="24">
        <v>0.73472222222222228</v>
      </c>
      <c r="K366" s="24">
        <v>0.73958333333333337</v>
      </c>
      <c r="L366" s="24">
        <v>0</v>
      </c>
      <c r="M366" s="24">
        <v>0.75416666666666665</v>
      </c>
      <c r="N366" s="8">
        <f t="shared" si="30"/>
        <v>1.4583333333333282E-2</v>
      </c>
      <c r="O366" s="24">
        <f t="shared" si="31"/>
        <v>1.4583333333333282E-2</v>
      </c>
      <c r="P366" s="22">
        <v>0</v>
      </c>
      <c r="Q366" s="25" t="s">
        <v>49</v>
      </c>
      <c r="R366" s="22" t="str">
        <f>IF(COUNTIF(fest!$A$1:$A$18,B366)&gt;0,"FESTIVO", IF(OR(WEEKDAY(B366,2)=6,WEEKDAY(B366,2)=7),"NO HÁBIL","HÁBIL"))</f>
        <v>HÁBIL</v>
      </c>
    </row>
    <row r="367" spans="1:42" ht="15.75" customHeight="1" x14ac:dyDescent="0.2">
      <c r="A367" s="22" t="s">
        <v>44</v>
      </c>
      <c r="B367" s="23">
        <v>46204</v>
      </c>
      <c r="C367" s="22" t="s">
        <v>16</v>
      </c>
      <c r="D367" s="22" t="s">
        <v>17</v>
      </c>
      <c r="E367" s="22" t="s">
        <v>14</v>
      </c>
      <c r="F367" s="22" t="s">
        <v>13</v>
      </c>
      <c r="G367" s="24">
        <v>0.76388888888888884</v>
      </c>
      <c r="H367" s="24">
        <f t="shared" si="26"/>
        <v>0.27083333333333331</v>
      </c>
      <c r="I367" s="8">
        <f t="shared" si="27"/>
        <v>-0.49305555555555552</v>
      </c>
      <c r="J367" s="24">
        <v>0.75416666666666665</v>
      </c>
      <c r="K367" s="24">
        <v>0.76944444444444449</v>
      </c>
      <c r="L367" s="24">
        <f t="shared" ref="L367:L396" si="32">+K367-J367</f>
        <v>1.5277777777777835E-2</v>
      </c>
      <c r="M367" s="24">
        <v>0.77500000000000002</v>
      </c>
      <c r="N367" s="8">
        <f t="shared" si="30"/>
        <v>5.5555555555555358E-3</v>
      </c>
      <c r="O367" s="24">
        <f t="shared" si="31"/>
        <v>2.083333333333337E-2</v>
      </c>
      <c r="P367" s="22">
        <v>3</v>
      </c>
      <c r="Q367" s="25" t="s">
        <v>47</v>
      </c>
      <c r="R367" s="22" t="str">
        <f>IF(COUNTIF(fest!$A$1:$A$18,B367)&gt;0,"FESTIVO", IF(OR(WEEKDAY(B367,2)=6,WEEKDAY(B367,2)=7),"NO HÁBIL","HÁBIL"))</f>
        <v>HÁBIL</v>
      </c>
    </row>
    <row r="368" spans="1:42" ht="15.75" customHeight="1" x14ac:dyDescent="0.2">
      <c r="A368" s="22" t="s">
        <v>43</v>
      </c>
      <c r="B368" s="23">
        <v>46205</v>
      </c>
      <c r="C368" s="22" t="s">
        <v>11</v>
      </c>
      <c r="D368" s="22" t="s">
        <v>12</v>
      </c>
      <c r="E368" s="22" t="s">
        <v>13</v>
      </c>
      <c r="F368" s="22" t="s">
        <v>14</v>
      </c>
      <c r="G368" s="24">
        <v>0.27083333333333331</v>
      </c>
      <c r="H368" s="24">
        <f t="shared" si="26"/>
        <v>0.29166666666666669</v>
      </c>
      <c r="I368" s="8">
        <f t="shared" si="27"/>
        <v>2.083333333333337E-2</v>
      </c>
      <c r="J368" s="24">
        <v>0.26527777777777778</v>
      </c>
      <c r="K368" s="24">
        <v>0.27361111111111114</v>
      </c>
      <c r="L368" s="24">
        <f t="shared" si="32"/>
        <v>8.3333333333333592E-3</v>
      </c>
      <c r="M368" s="24">
        <v>0.28194444444444444</v>
      </c>
      <c r="N368" s="8">
        <f t="shared" si="30"/>
        <v>8.3333333333333037E-3</v>
      </c>
      <c r="O368" s="24">
        <f t="shared" si="31"/>
        <v>1.6666666666666663E-2</v>
      </c>
      <c r="P368" s="22">
        <v>0</v>
      </c>
      <c r="Q368" s="25" t="s">
        <v>51</v>
      </c>
      <c r="R368" s="22" t="str">
        <f>IF(COUNTIF(fest!$A$1:$A$18,B368)&gt;0,"FESTIVO", IF(OR(WEEKDAY(B368,2)=6,WEEKDAY(B368,2)=7),"NO HÁBIL","HÁBIL"))</f>
        <v>HÁBIL</v>
      </c>
    </row>
    <row r="369" spans="1:18" ht="15.75" customHeight="1" x14ac:dyDescent="0.2">
      <c r="A369" s="22" t="s">
        <v>43</v>
      </c>
      <c r="B369" s="23">
        <v>46205</v>
      </c>
      <c r="C369" s="22" t="s">
        <v>15</v>
      </c>
      <c r="D369" s="22" t="s">
        <v>12</v>
      </c>
      <c r="E369" s="22" t="s">
        <v>13</v>
      </c>
      <c r="F369" s="22" t="s">
        <v>14</v>
      </c>
      <c r="G369" s="24">
        <v>0.29166666666666669</v>
      </c>
      <c r="H369" s="24">
        <f t="shared" si="26"/>
        <v>0.3125</v>
      </c>
      <c r="I369" s="8">
        <f t="shared" si="27"/>
        <v>2.0833333333333315E-2</v>
      </c>
      <c r="J369" s="24">
        <v>0.28194444444444444</v>
      </c>
      <c r="K369" s="24">
        <v>0.29444444444444445</v>
      </c>
      <c r="L369" s="24">
        <f t="shared" si="32"/>
        <v>1.2500000000000011E-2</v>
      </c>
      <c r="M369" s="24">
        <v>0.30833333333333335</v>
      </c>
      <c r="N369" s="8">
        <f t="shared" si="30"/>
        <v>1.3888888888888895E-2</v>
      </c>
      <c r="O369" s="24">
        <f t="shared" si="31"/>
        <v>2.6388888888888906E-2</v>
      </c>
      <c r="P369" s="22">
        <v>2</v>
      </c>
      <c r="Q369" s="25" t="s">
        <v>51</v>
      </c>
      <c r="R369" s="22" t="str">
        <f>IF(COUNTIF(fest!$A$1:$A$18,B369)&gt;0,"FESTIVO", IF(OR(WEEKDAY(B369,2)=6,WEEKDAY(B369,2)=7),"NO HÁBIL","HÁBIL"))</f>
        <v>HÁBIL</v>
      </c>
    </row>
    <row r="370" spans="1:18" ht="15.75" customHeight="1" x14ac:dyDescent="0.2">
      <c r="A370" s="22" t="s">
        <v>43</v>
      </c>
      <c r="B370" s="23">
        <v>46205</v>
      </c>
      <c r="C370" s="22" t="s">
        <v>16</v>
      </c>
      <c r="D370" s="22" t="s">
        <v>12</v>
      </c>
      <c r="E370" s="22" t="s">
        <v>13</v>
      </c>
      <c r="F370" s="22" t="s">
        <v>14</v>
      </c>
      <c r="G370" s="24">
        <v>0.3125</v>
      </c>
      <c r="H370" s="24">
        <f t="shared" si="26"/>
        <v>0.71527777777777779</v>
      </c>
      <c r="I370" s="8">
        <f t="shared" si="27"/>
        <v>0.40277777777777779</v>
      </c>
      <c r="J370" s="24">
        <v>0.30833333333333335</v>
      </c>
      <c r="K370" s="24">
        <v>0.31458333333333333</v>
      </c>
      <c r="L370" s="24">
        <f t="shared" si="32"/>
        <v>6.2499999999999778E-3</v>
      </c>
      <c r="M370" s="24">
        <v>0.33194444444444443</v>
      </c>
      <c r="N370" s="8">
        <f t="shared" si="30"/>
        <v>1.7361111111111105E-2</v>
      </c>
      <c r="O370" s="24">
        <f t="shared" si="31"/>
        <v>2.3611111111111083E-2</v>
      </c>
      <c r="P370" s="22">
        <v>1</v>
      </c>
      <c r="Q370" s="25" t="s">
        <v>51</v>
      </c>
      <c r="R370" s="22" t="str">
        <f>IF(COUNTIF(fest!$A$1:$A$18,B370)&gt;0,"FESTIVO", IF(OR(WEEKDAY(B370,2)=6,WEEKDAY(B370,2)=7),"NO HÁBIL","HÁBIL"))</f>
        <v>HÁBIL</v>
      </c>
    </row>
    <row r="371" spans="1:18" ht="15.75" customHeight="1" x14ac:dyDescent="0.2">
      <c r="A371" s="22" t="s">
        <v>44</v>
      </c>
      <c r="B371" s="23">
        <v>46205</v>
      </c>
      <c r="C371" s="22" t="s">
        <v>11</v>
      </c>
      <c r="D371" s="22" t="s">
        <v>17</v>
      </c>
      <c r="E371" s="22" t="s">
        <v>14</v>
      </c>
      <c r="F371" s="22" t="s">
        <v>13</v>
      </c>
      <c r="G371" s="24">
        <v>0.71527777777777779</v>
      </c>
      <c r="H371" s="24">
        <f t="shared" si="26"/>
        <v>0.73958333333333337</v>
      </c>
      <c r="I371" s="8">
        <f t="shared" si="27"/>
        <v>2.430555555555558E-2</v>
      </c>
      <c r="J371" s="24">
        <v>0.70972222222222225</v>
      </c>
      <c r="K371" s="24">
        <v>0.71805555555555556</v>
      </c>
      <c r="L371" s="24">
        <f t="shared" si="32"/>
        <v>8.3333333333333037E-3</v>
      </c>
      <c r="M371" s="24">
        <v>0.73750000000000004</v>
      </c>
      <c r="N371" s="8">
        <f t="shared" si="30"/>
        <v>1.9444444444444486E-2</v>
      </c>
      <c r="O371" s="24">
        <f t="shared" si="31"/>
        <v>2.777777777777779E-2</v>
      </c>
      <c r="P371" s="22">
        <v>5</v>
      </c>
      <c r="Q371" s="25" t="s">
        <v>49</v>
      </c>
      <c r="R371" s="22" t="str">
        <f>IF(COUNTIF(fest!$A$1:$A$18,B371)&gt;0,"FESTIVO", IF(OR(WEEKDAY(B371,2)=6,WEEKDAY(B371,2)=7),"NO HÁBIL","HÁBIL"))</f>
        <v>HÁBIL</v>
      </c>
    </row>
    <row r="372" spans="1:18" ht="15.75" customHeight="1" x14ac:dyDescent="0.2">
      <c r="A372" s="22" t="s">
        <v>44</v>
      </c>
      <c r="B372" s="23">
        <v>46205</v>
      </c>
      <c r="C372" s="22" t="s">
        <v>15</v>
      </c>
      <c r="D372" s="22" t="s">
        <v>17</v>
      </c>
      <c r="E372" s="22" t="s">
        <v>14</v>
      </c>
      <c r="F372" s="22" t="s">
        <v>13</v>
      </c>
      <c r="G372" s="24">
        <v>0.73958333333333337</v>
      </c>
      <c r="H372" s="24">
        <f t="shared" si="26"/>
        <v>0.76388888888888884</v>
      </c>
      <c r="I372" s="8">
        <f t="shared" si="27"/>
        <v>2.4305555555555469E-2</v>
      </c>
      <c r="J372" s="24">
        <v>0.73750000000000004</v>
      </c>
      <c r="K372" s="24">
        <v>0.7416666666666667</v>
      </c>
      <c r="L372" s="24">
        <f t="shared" si="32"/>
        <v>4.1666666666666519E-3</v>
      </c>
      <c r="M372" s="24">
        <v>0.76041666666666663</v>
      </c>
      <c r="N372" s="8">
        <v>0</v>
      </c>
      <c r="O372" s="24">
        <f t="shared" si="31"/>
        <v>4.1666666666666519E-3</v>
      </c>
      <c r="P372" s="22">
        <v>1</v>
      </c>
      <c r="Q372" s="25" t="s">
        <v>49</v>
      </c>
      <c r="R372" s="22" t="str">
        <f>IF(COUNTIF(fest!$A$1:$A$18,B372)&gt;0,"FESTIVO", IF(OR(WEEKDAY(B372,2)=6,WEEKDAY(B372,2)=7),"NO HÁBIL","HÁBIL"))</f>
        <v>HÁBIL</v>
      </c>
    </row>
    <row r="373" spans="1:18" ht="15.75" customHeight="1" x14ac:dyDescent="0.2">
      <c r="A373" s="22" t="s">
        <v>44</v>
      </c>
      <c r="B373" s="23">
        <v>46205</v>
      </c>
      <c r="C373" s="22" t="s">
        <v>16</v>
      </c>
      <c r="D373" s="22" t="s">
        <v>17</v>
      </c>
      <c r="E373" s="22" t="s">
        <v>14</v>
      </c>
      <c r="F373" s="22" t="s">
        <v>13</v>
      </c>
      <c r="G373" s="24">
        <v>0.76388888888888884</v>
      </c>
      <c r="H373" s="24">
        <f t="shared" si="26"/>
        <v>0.27083333333333331</v>
      </c>
      <c r="I373" s="8">
        <f t="shared" si="27"/>
        <v>-0.49305555555555552</v>
      </c>
      <c r="J373" s="24">
        <v>0.76041666666666663</v>
      </c>
      <c r="K373" s="24">
        <v>0.76597222222222228</v>
      </c>
      <c r="L373" s="24">
        <f t="shared" si="32"/>
        <v>5.5555555555556468E-3</v>
      </c>
      <c r="M373" s="24">
        <f>+K373+N373</f>
        <v>0.77569444444444446</v>
      </c>
      <c r="N373" s="8">
        <f>AVERAGE(N371:N372)</f>
        <v>9.7222222222222432E-3</v>
      </c>
      <c r="O373" s="24">
        <f t="shared" si="31"/>
        <v>1.527777777777789E-2</v>
      </c>
      <c r="P373" s="22">
        <v>2</v>
      </c>
      <c r="Q373" s="25" t="s">
        <v>49</v>
      </c>
      <c r="R373" s="22" t="str">
        <f>IF(COUNTIF(fest!$A$1:$A$18,B373)&gt;0,"FESTIVO", IF(OR(WEEKDAY(B373,2)=6,WEEKDAY(B373,2)=7),"NO HÁBIL","HÁBIL"))</f>
        <v>HÁBIL</v>
      </c>
    </row>
    <row r="374" spans="1:18" ht="15.75" customHeight="1" x14ac:dyDescent="0.2">
      <c r="A374" s="22" t="s">
        <v>43</v>
      </c>
      <c r="B374" s="23">
        <v>46206</v>
      </c>
      <c r="C374" s="22" t="s">
        <v>11</v>
      </c>
      <c r="D374" s="22" t="s">
        <v>12</v>
      </c>
      <c r="E374" s="22" t="s">
        <v>13</v>
      </c>
      <c r="F374" s="22" t="s">
        <v>14</v>
      </c>
      <c r="G374" s="24">
        <v>0.27083333333333331</v>
      </c>
      <c r="H374" s="24">
        <f t="shared" si="26"/>
        <v>0.29166666666666669</v>
      </c>
      <c r="I374" s="8">
        <f t="shared" si="27"/>
        <v>2.083333333333337E-2</v>
      </c>
      <c r="J374" s="24">
        <v>0.26458333333333334</v>
      </c>
      <c r="K374" s="24">
        <v>0.27361111111111114</v>
      </c>
      <c r="L374" s="24">
        <f t="shared" si="32"/>
        <v>9.0277777777778012E-3</v>
      </c>
      <c r="M374" s="24">
        <v>0.28958333333333336</v>
      </c>
      <c r="N374" s="8">
        <f t="shared" ref="N374:N381" si="33">+M374-K374</f>
        <v>1.5972222222222221E-2</v>
      </c>
      <c r="O374" s="24">
        <f t="shared" si="31"/>
        <v>2.5000000000000022E-2</v>
      </c>
      <c r="P374" s="22">
        <v>1</v>
      </c>
      <c r="Q374" s="25" t="s">
        <v>51</v>
      </c>
      <c r="R374" s="22" t="str">
        <f>IF(COUNTIF(fest!$A$1:$A$18,B374)&gt;0,"FESTIVO", IF(OR(WEEKDAY(B374,2)=6,WEEKDAY(B374,2)=7),"NO HÁBIL","HÁBIL"))</f>
        <v>HÁBIL</v>
      </c>
    </row>
    <row r="375" spans="1:18" ht="15.75" customHeight="1" x14ac:dyDescent="0.2">
      <c r="A375" s="22" t="s">
        <v>43</v>
      </c>
      <c r="B375" s="23">
        <v>46206</v>
      </c>
      <c r="C375" s="22" t="s">
        <v>15</v>
      </c>
      <c r="D375" s="22" t="s">
        <v>12</v>
      </c>
      <c r="E375" s="22" t="s">
        <v>13</v>
      </c>
      <c r="F375" s="22" t="s">
        <v>14</v>
      </c>
      <c r="G375" s="24">
        <v>0.29166666666666669</v>
      </c>
      <c r="H375" s="24">
        <f t="shared" si="26"/>
        <v>0.3125</v>
      </c>
      <c r="I375" s="8">
        <f t="shared" si="27"/>
        <v>2.0833333333333315E-2</v>
      </c>
      <c r="J375" s="24">
        <v>0.28958333333333336</v>
      </c>
      <c r="K375" s="24">
        <v>0.29444444444444445</v>
      </c>
      <c r="L375" s="24">
        <f t="shared" si="32"/>
        <v>4.8611111111110938E-3</v>
      </c>
      <c r="M375" s="24">
        <v>0.31041666666666667</v>
      </c>
      <c r="N375" s="8">
        <f t="shared" si="33"/>
        <v>1.5972222222222221E-2</v>
      </c>
      <c r="O375" s="24">
        <f t="shared" si="31"/>
        <v>2.0833333333333315E-2</v>
      </c>
      <c r="P375" s="22">
        <v>1</v>
      </c>
      <c r="Q375" s="25" t="s">
        <v>51</v>
      </c>
      <c r="R375" s="22" t="str">
        <f>IF(COUNTIF(fest!$A$1:$A$18,B375)&gt;0,"FESTIVO", IF(OR(WEEKDAY(B375,2)=6,WEEKDAY(B375,2)=7),"NO HÁBIL","HÁBIL"))</f>
        <v>HÁBIL</v>
      </c>
    </row>
    <row r="376" spans="1:18" ht="15.75" customHeight="1" x14ac:dyDescent="0.2">
      <c r="A376" s="22" t="s">
        <v>43</v>
      </c>
      <c r="B376" s="23">
        <v>46206</v>
      </c>
      <c r="C376" s="22" t="s">
        <v>16</v>
      </c>
      <c r="D376" s="22" t="s">
        <v>12</v>
      </c>
      <c r="E376" s="22" t="s">
        <v>13</v>
      </c>
      <c r="F376" s="22" t="s">
        <v>14</v>
      </c>
      <c r="G376" s="24">
        <v>0.3125</v>
      </c>
      <c r="H376" s="24">
        <f t="shared" si="26"/>
        <v>0.71527777777777779</v>
      </c>
      <c r="I376" s="8">
        <f t="shared" si="27"/>
        <v>0.40277777777777779</v>
      </c>
      <c r="J376" s="24">
        <v>0.31041666666666667</v>
      </c>
      <c r="K376" s="24">
        <v>0.31527777777777777</v>
      </c>
      <c r="L376" s="24">
        <f t="shared" si="32"/>
        <v>4.8611111111110938E-3</v>
      </c>
      <c r="M376" s="24">
        <f ca="1">+K376+N376</f>
        <v>0.31458333333333333</v>
      </c>
      <c r="N376" s="8">
        <f t="shared" ca="1" si="33"/>
        <v>1.5277777777777779E-2</v>
      </c>
      <c r="O376" s="24">
        <f t="shared" ca="1" si="31"/>
        <v>2.0833333333333315E-2</v>
      </c>
      <c r="P376" s="22">
        <v>1</v>
      </c>
      <c r="Q376" s="25" t="s">
        <v>51</v>
      </c>
      <c r="R376" s="22" t="str">
        <f>IF(COUNTIF(fest!$A$1:$A$18,B376)&gt;0,"FESTIVO", IF(OR(WEEKDAY(B376,2)=6,WEEKDAY(B376,2)=7),"NO HÁBIL","HÁBIL"))</f>
        <v>HÁBIL</v>
      </c>
    </row>
    <row r="377" spans="1:18" ht="15.75" customHeight="1" x14ac:dyDescent="0.2">
      <c r="A377" s="22" t="s">
        <v>44</v>
      </c>
      <c r="B377" s="23">
        <v>46206</v>
      </c>
      <c r="C377" s="22" t="s">
        <v>11</v>
      </c>
      <c r="D377" s="22" t="s">
        <v>17</v>
      </c>
      <c r="E377" s="22" t="s">
        <v>14</v>
      </c>
      <c r="F377" s="22" t="s">
        <v>13</v>
      </c>
      <c r="G377" s="24">
        <v>0.71527777777777779</v>
      </c>
      <c r="H377" s="24">
        <f t="shared" si="26"/>
        <v>0.73958333333333337</v>
      </c>
      <c r="I377" s="8">
        <f t="shared" si="27"/>
        <v>2.430555555555558E-2</v>
      </c>
      <c r="J377" s="24">
        <v>0.67152777777777772</v>
      </c>
      <c r="K377" s="24">
        <v>0.67777777777777781</v>
      </c>
      <c r="L377" s="24">
        <f t="shared" si="32"/>
        <v>6.2500000000000888E-3</v>
      </c>
      <c r="M377" s="24">
        <v>0.69374999999999998</v>
      </c>
      <c r="N377" s="8">
        <f t="shared" si="33"/>
        <v>1.5972222222222165E-2</v>
      </c>
      <c r="O377" s="24">
        <f t="shared" si="31"/>
        <v>2.2222222222222254E-2</v>
      </c>
      <c r="P377" s="22">
        <v>1</v>
      </c>
      <c r="Q377" s="25" t="s">
        <v>47</v>
      </c>
      <c r="R377" s="22" t="str">
        <f>IF(COUNTIF(fest!$A$1:$A$18,B377)&gt;0,"FESTIVO", IF(OR(WEEKDAY(B377,2)=6,WEEKDAY(B377,2)=7),"NO HÁBIL","HÁBIL"))</f>
        <v>HÁBIL</v>
      </c>
    </row>
    <row r="378" spans="1:18" ht="15.75" customHeight="1" x14ac:dyDescent="0.2">
      <c r="A378" s="22" t="s">
        <v>44</v>
      </c>
      <c r="B378" s="23">
        <v>46206</v>
      </c>
      <c r="C378" s="22" t="s">
        <v>15</v>
      </c>
      <c r="D378" s="22" t="s">
        <v>17</v>
      </c>
      <c r="E378" s="22" t="s">
        <v>14</v>
      </c>
      <c r="F378" s="22" t="s">
        <v>13</v>
      </c>
      <c r="G378" s="24">
        <v>0.73958333333333337</v>
      </c>
      <c r="H378" s="24">
        <f t="shared" si="26"/>
        <v>0.76388888888888884</v>
      </c>
      <c r="I378" s="8">
        <f t="shared" si="27"/>
        <v>2.4305555555555469E-2</v>
      </c>
      <c r="J378" s="24">
        <v>0.69374999999999998</v>
      </c>
      <c r="K378" s="24">
        <v>0.69791666666666663</v>
      </c>
      <c r="L378" s="24">
        <f t="shared" si="32"/>
        <v>4.1666666666666519E-3</v>
      </c>
      <c r="M378" s="24">
        <v>0.70902777777777781</v>
      </c>
      <c r="N378" s="8">
        <f t="shared" si="33"/>
        <v>1.1111111111111183E-2</v>
      </c>
      <c r="O378" s="24">
        <f t="shared" si="31"/>
        <v>1.5277777777777835E-2</v>
      </c>
      <c r="P378" s="22">
        <v>0</v>
      </c>
      <c r="Q378" s="25" t="s">
        <v>45</v>
      </c>
      <c r="R378" s="22" t="str">
        <f>IF(COUNTIF(fest!$A$1:$A$18,B378)&gt;0,"FESTIVO", IF(OR(WEEKDAY(B378,2)=6,WEEKDAY(B378,2)=7),"NO HÁBIL","HÁBIL"))</f>
        <v>HÁBIL</v>
      </c>
    </row>
    <row r="379" spans="1:18" ht="15.75" customHeight="1" x14ac:dyDescent="0.2">
      <c r="A379" s="22" t="s">
        <v>44</v>
      </c>
      <c r="B379" s="23">
        <v>46206</v>
      </c>
      <c r="C379" s="22" t="s">
        <v>16</v>
      </c>
      <c r="D379" s="22" t="s">
        <v>17</v>
      </c>
      <c r="E379" s="22" t="s">
        <v>14</v>
      </c>
      <c r="F379" s="22" t="s">
        <v>13</v>
      </c>
      <c r="G379" s="24">
        <v>0.76388888888888884</v>
      </c>
      <c r="H379" s="24">
        <f t="shared" si="26"/>
        <v>0.27083333333333331</v>
      </c>
      <c r="I379" s="8">
        <f t="shared" si="27"/>
        <v>-0.49305555555555552</v>
      </c>
      <c r="J379" s="24">
        <v>0.70902777777777781</v>
      </c>
      <c r="K379" s="24">
        <v>0.72291666666666665</v>
      </c>
      <c r="L379" s="24">
        <f t="shared" si="32"/>
        <v>1.388888888888884E-2</v>
      </c>
      <c r="M379" s="24">
        <v>0.73124999999999996</v>
      </c>
      <c r="N379" s="8">
        <f t="shared" si="33"/>
        <v>8.3333333333333037E-3</v>
      </c>
      <c r="O379" s="24">
        <f t="shared" si="31"/>
        <v>2.2222222222222143E-2</v>
      </c>
      <c r="P379" s="22">
        <v>5</v>
      </c>
      <c r="Q379" s="25" t="s">
        <v>47</v>
      </c>
      <c r="R379" s="22" t="str">
        <f>IF(COUNTIF(fest!$A$1:$A$18,B379)&gt;0,"FESTIVO", IF(OR(WEEKDAY(B379,2)=6,WEEKDAY(B379,2)=7),"NO HÁBIL","HÁBIL"))</f>
        <v>HÁBIL</v>
      </c>
    </row>
    <row r="380" spans="1:18" ht="15.75" customHeight="1" x14ac:dyDescent="0.2">
      <c r="A380" s="22" t="s">
        <v>43</v>
      </c>
      <c r="B380" s="23">
        <v>46209</v>
      </c>
      <c r="C380" s="22" t="s">
        <v>11</v>
      </c>
      <c r="D380" s="22" t="s">
        <v>12</v>
      </c>
      <c r="E380" s="22" t="s">
        <v>13</v>
      </c>
      <c r="F380" s="22" t="s">
        <v>14</v>
      </c>
      <c r="G380" s="24">
        <v>0.27083333333333331</v>
      </c>
      <c r="H380" s="24">
        <f t="shared" si="26"/>
        <v>0.29166666666666669</v>
      </c>
      <c r="I380" s="8">
        <f t="shared" si="27"/>
        <v>2.083333333333337E-2</v>
      </c>
      <c r="J380" s="24">
        <v>0.2638888888888889</v>
      </c>
      <c r="K380" s="24">
        <v>0.27291666666666664</v>
      </c>
      <c r="L380" s="24">
        <f t="shared" si="32"/>
        <v>9.0277777777777457E-3</v>
      </c>
      <c r="M380" s="24">
        <v>0.28888888888888886</v>
      </c>
      <c r="N380" s="8">
        <f t="shared" si="33"/>
        <v>1.5972222222222221E-2</v>
      </c>
      <c r="O380" s="24">
        <f t="shared" si="31"/>
        <v>2.4999999999999967E-2</v>
      </c>
      <c r="P380" s="22">
        <v>2</v>
      </c>
      <c r="Q380" s="25" t="s">
        <v>51</v>
      </c>
      <c r="R380" s="22" t="str">
        <f>IF(COUNTIF(fest!$A$1:$A$18,B380)&gt;0,"FESTIVO", IF(OR(WEEKDAY(B380,2)=6,WEEKDAY(B380,2)=7),"NO HÁBIL","HÁBIL"))</f>
        <v>HÁBIL</v>
      </c>
    </row>
    <row r="381" spans="1:18" ht="15.75" customHeight="1" x14ac:dyDescent="0.2">
      <c r="A381" s="22" t="s">
        <v>43</v>
      </c>
      <c r="B381" s="23">
        <v>46209</v>
      </c>
      <c r="C381" s="22" t="s">
        <v>15</v>
      </c>
      <c r="D381" s="22" t="s">
        <v>12</v>
      </c>
      <c r="E381" s="22" t="s">
        <v>13</v>
      </c>
      <c r="F381" s="22" t="s">
        <v>14</v>
      </c>
      <c r="G381" s="24">
        <v>0.29166666666666669</v>
      </c>
      <c r="H381" s="24">
        <f t="shared" si="26"/>
        <v>0.3125</v>
      </c>
      <c r="I381" s="8">
        <f t="shared" si="27"/>
        <v>2.0833333333333315E-2</v>
      </c>
      <c r="J381" s="24">
        <v>0.28888888888888886</v>
      </c>
      <c r="K381" s="24">
        <v>0.29444444444444445</v>
      </c>
      <c r="L381" s="24">
        <f t="shared" si="32"/>
        <v>5.5555555555555913E-3</v>
      </c>
      <c r="M381" s="24">
        <v>0.31111111111111112</v>
      </c>
      <c r="N381" s="8">
        <f t="shared" si="33"/>
        <v>1.6666666666666663E-2</v>
      </c>
      <c r="O381" s="24">
        <f t="shared" si="31"/>
        <v>2.2222222222222254E-2</v>
      </c>
      <c r="P381" s="22">
        <v>1</v>
      </c>
      <c r="Q381" s="25" t="s">
        <v>51</v>
      </c>
      <c r="R381" s="22" t="str">
        <f>IF(COUNTIF(fest!$A$1:$A$18,B381)&gt;0,"FESTIVO", IF(OR(WEEKDAY(B381,2)=6,WEEKDAY(B381,2)=7),"NO HÁBIL","HÁBIL"))</f>
        <v>HÁBIL</v>
      </c>
    </row>
    <row r="382" spans="1:18" ht="15.75" customHeight="1" x14ac:dyDescent="0.2">
      <c r="A382" s="22" t="s">
        <v>43</v>
      </c>
      <c r="B382" s="23">
        <v>46209</v>
      </c>
      <c r="C382" s="22" t="s">
        <v>16</v>
      </c>
      <c r="D382" s="22" t="s">
        <v>12</v>
      </c>
      <c r="E382" s="22" t="s">
        <v>13</v>
      </c>
      <c r="F382" s="22" t="s">
        <v>14</v>
      </c>
      <c r="G382" s="24">
        <v>0.3125</v>
      </c>
      <c r="H382" s="24">
        <f t="shared" si="26"/>
        <v>0.71527777777777779</v>
      </c>
      <c r="I382" s="8">
        <f t="shared" si="27"/>
        <v>0.40277777777777779</v>
      </c>
      <c r="J382" s="24">
        <v>0.31111111111111112</v>
      </c>
      <c r="K382" s="24">
        <v>0.31458333333333333</v>
      </c>
      <c r="L382" s="24">
        <f t="shared" si="32"/>
        <v>3.4722222222222099E-3</v>
      </c>
      <c r="M382" s="24">
        <f>+K382+N382</f>
        <v>0.33090277777777777</v>
      </c>
      <c r="N382" s="8">
        <f>AVERAGE(N380:N381)</f>
        <v>1.6319444444444442E-2</v>
      </c>
      <c r="O382" s="24">
        <f t="shared" si="31"/>
        <v>1.9791666666666652E-2</v>
      </c>
      <c r="P382" s="22">
        <v>1</v>
      </c>
      <c r="Q382" s="25" t="s">
        <v>51</v>
      </c>
      <c r="R382" s="22" t="str">
        <f>IF(COUNTIF(fest!$A$1:$A$18,B382)&gt;0,"FESTIVO", IF(OR(WEEKDAY(B382,2)=6,WEEKDAY(B382,2)=7),"NO HÁBIL","HÁBIL"))</f>
        <v>HÁBIL</v>
      </c>
    </row>
    <row r="383" spans="1:18" ht="15.75" customHeight="1" x14ac:dyDescent="0.2">
      <c r="A383" s="22" t="s">
        <v>44</v>
      </c>
      <c r="B383" s="23">
        <v>46209</v>
      </c>
      <c r="C383" s="22" t="s">
        <v>11</v>
      </c>
      <c r="D383" s="22" t="s">
        <v>17</v>
      </c>
      <c r="E383" s="22" t="s">
        <v>14</v>
      </c>
      <c r="F383" s="22" t="s">
        <v>13</v>
      </c>
      <c r="G383" s="24">
        <v>0.71527777777777779</v>
      </c>
      <c r="H383" s="24">
        <f t="shared" si="26"/>
        <v>0.73958333333333337</v>
      </c>
      <c r="I383" s="8">
        <f t="shared" si="27"/>
        <v>2.430555555555558E-2</v>
      </c>
      <c r="J383" s="24">
        <v>0.70833333333333337</v>
      </c>
      <c r="K383" s="24">
        <v>0.71666666666666667</v>
      </c>
      <c r="L383" s="24">
        <f t="shared" si="32"/>
        <v>8.3333333333333037E-3</v>
      </c>
      <c r="M383" s="24">
        <v>0.73541666666666672</v>
      </c>
      <c r="N383" s="8">
        <f>+M383-K383</f>
        <v>1.8750000000000044E-2</v>
      </c>
      <c r="O383" s="24">
        <f t="shared" si="31"/>
        <v>2.7083333333333348E-2</v>
      </c>
      <c r="P383" s="22">
        <v>4</v>
      </c>
      <c r="Q383" s="25" t="s">
        <v>48</v>
      </c>
      <c r="R383" s="22" t="str">
        <f>IF(COUNTIF(fest!$A$1:$A$18,B383)&gt;0,"FESTIVO", IF(OR(WEEKDAY(B383,2)=6,WEEKDAY(B383,2)=7),"NO HÁBIL","HÁBIL"))</f>
        <v>HÁBIL</v>
      </c>
    </row>
    <row r="384" spans="1:18" ht="15.75" customHeight="1" x14ac:dyDescent="0.2">
      <c r="A384" s="22" t="s">
        <v>44</v>
      </c>
      <c r="B384" s="23">
        <v>46209</v>
      </c>
      <c r="C384" s="22" t="s">
        <v>15</v>
      </c>
      <c r="D384" s="22" t="s">
        <v>17</v>
      </c>
      <c r="E384" s="22" t="s">
        <v>14</v>
      </c>
      <c r="F384" s="22" t="s">
        <v>13</v>
      </c>
      <c r="G384" s="24">
        <v>0.73958333333333337</v>
      </c>
      <c r="H384" s="24">
        <f t="shared" si="26"/>
        <v>0.76388888888888884</v>
      </c>
      <c r="I384" s="8">
        <f t="shared" si="27"/>
        <v>2.4305555555555469E-2</v>
      </c>
      <c r="J384" s="24">
        <v>0.73541666666666672</v>
      </c>
      <c r="K384" s="24">
        <v>0.73958333333333337</v>
      </c>
      <c r="L384" s="24">
        <f t="shared" si="32"/>
        <v>4.1666666666666519E-3</v>
      </c>
      <c r="M384" s="24">
        <v>0</v>
      </c>
      <c r="N384" s="8">
        <v>0</v>
      </c>
      <c r="O384" s="24">
        <v>0</v>
      </c>
      <c r="P384" s="22">
        <v>0</v>
      </c>
      <c r="Q384" s="25" t="s">
        <v>45</v>
      </c>
      <c r="R384" s="22" t="str">
        <f>IF(COUNTIF(fest!$A$1:$A$18,B384)&gt;0,"FESTIVO", IF(OR(WEEKDAY(B384,2)=6,WEEKDAY(B384,2)=7),"NO HÁBIL","HÁBIL"))</f>
        <v>HÁBIL</v>
      </c>
    </row>
    <row r="385" spans="1:42" ht="15.75" customHeight="1" x14ac:dyDescent="0.2">
      <c r="A385" s="22" t="s">
        <v>44</v>
      </c>
      <c r="B385" s="23">
        <v>46209</v>
      </c>
      <c r="C385" s="22" t="s">
        <v>16</v>
      </c>
      <c r="D385" s="22" t="s">
        <v>17</v>
      </c>
      <c r="E385" s="22" t="s">
        <v>14</v>
      </c>
      <c r="F385" s="22" t="s">
        <v>13</v>
      </c>
      <c r="G385" s="24">
        <v>0.76388888888888884</v>
      </c>
      <c r="H385" s="24">
        <f t="shared" si="26"/>
        <v>0.27083333333333331</v>
      </c>
      <c r="I385" s="8">
        <f t="shared" si="27"/>
        <v>-0.49305555555555552</v>
      </c>
      <c r="J385" s="24">
        <v>0.75</v>
      </c>
      <c r="K385" s="24">
        <v>0.76458333333333328</v>
      </c>
      <c r="L385" s="24">
        <f t="shared" si="32"/>
        <v>1.4583333333333282E-2</v>
      </c>
      <c r="M385" s="24">
        <f>+K385+N385</f>
        <v>0.7739583333333333</v>
      </c>
      <c r="N385" s="8">
        <f>AVERAGE(N383:N384)</f>
        <v>9.3750000000000222E-3</v>
      </c>
      <c r="O385" s="24">
        <f>+L385+N385</f>
        <v>2.3958333333333304E-2</v>
      </c>
      <c r="P385" s="22">
        <v>4</v>
      </c>
      <c r="Q385" s="25" t="s">
        <v>48</v>
      </c>
      <c r="R385" s="22" t="str">
        <f>IF(COUNTIF(fest!$A$1:$A$18,B385)&gt;0,"FESTIVO", IF(OR(WEEKDAY(B385,2)=6,WEEKDAY(B385,2)=7),"NO HÁBIL","HÁBIL"))</f>
        <v>HÁBIL</v>
      </c>
    </row>
    <row r="386" spans="1:42" ht="15.75" customHeight="1" x14ac:dyDescent="0.2">
      <c r="A386" s="22" t="s">
        <v>43</v>
      </c>
      <c r="B386" s="23">
        <v>46210</v>
      </c>
      <c r="C386" s="22" t="s">
        <v>11</v>
      </c>
      <c r="D386" s="22" t="s">
        <v>12</v>
      </c>
      <c r="E386" s="22" t="s">
        <v>13</v>
      </c>
      <c r="F386" s="22" t="s">
        <v>14</v>
      </c>
      <c r="G386" s="24">
        <v>0.27083333333333331</v>
      </c>
      <c r="H386" s="24">
        <f t="shared" si="26"/>
        <v>0.29166666666666669</v>
      </c>
      <c r="I386" s="8">
        <f t="shared" si="27"/>
        <v>2.083333333333337E-2</v>
      </c>
      <c r="J386" s="24">
        <v>0.26527777777777778</v>
      </c>
      <c r="K386" s="24">
        <v>0.27361111111111114</v>
      </c>
      <c r="L386" s="24">
        <f t="shared" si="32"/>
        <v>8.3333333333333592E-3</v>
      </c>
      <c r="M386" s="24">
        <v>0.28611111111111109</v>
      </c>
      <c r="N386" s="8">
        <f>+M386-K386</f>
        <v>1.2499999999999956E-2</v>
      </c>
      <c r="O386" s="24">
        <f>+L386+N386</f>
        <v>2.0833333333333315E-2</v>
      </c>
      <c r="P386" s="22">
        <v>2</v>
      </c>
      <c r="Q386" s="25" t="s">
        <v>51</v>
      </c>
      <c r="R386" s="22" t="str">
        <f>IF(COUNTIF(fest!$A$1:$A$18,B386)&gt;0,"FESTIVO", IF(OR(WEEKDAY(B386,2)=6,WEEKDAY(B386,2)=7),"NO HÁBIL","HÁBIL"))</f>
        <v>HÁBIL</v>
      </c>
    </row>
    <row r="387" spans="1:42" ht="15.75" customHeight="1" x14ac:dyDescent="0.2">
      <c r="A387" s="22" t="s">
        <v>43</v>
      </c>
      <c r="B387" s="23">
        <v>46210</v>
      </c>
      <c r="C387" s="22" t="s">
        <v>15</v>
      </c>
      <c r="D387" s="22" t="s">
        <v>12</v>
      </c>
      <c r="E387" s="22" t="s">
        <v>13</v>
      </c>
      <c r="F387" s="22" t="s">
        <v>14</v>
      </c>
      <c r="G387" s="24">
        <v>0.29166666666666669</v>
      </c>
      <c r="H387" s="24">
        <f t="shared" ref="H387:H450" si="34">+G387+I387</f>
        <v>0.3125</v>
      </c>
      <c r="I387" s="8">
        <f t="shared" ref="I387:I450" si="35">+G388-G387</f>
        <v>2.0833333333333315E-2</v>
      </c>
      <c r="J387" s="24">
        <v>0.28611111111111109</v>
      </c>
      <c r="K387" s="24">
        <v>0.29444444444444445</v>
      </c>
      <c r="L387" s="24">
        <f t="shared" si="32"/>
        <v>8.3333333333333592E-3</v>
      </c>
      <c r="M387" s="24">
        <v>0.30833333333333335</v>
      </c>
      <c r="N387" s="8">
        <f>+M387-K387</f>
        <v>1.3888888888888895E-2</v>
      </c>
      <c r="O387" s="24">
        <f>+L387+N387</f>
        <v>2.2222222222222254E-2</v>
      </c>
      <c r="P387" s="22">
        <v>4</v>
      </c>
      <c r="Q387" s="25" t="s">
        <v>51</v>
      </c>
      <c r="R387" s="22" t="str">
        <f>IF(COUNTIF(fest!$A$1:$A$18,B387)&gt;0,"FESTIVO", IF(OR(WEEKDAY(B387,2)=6,WEEKDAY(B387,2)=7),"NO HÁBIL","HÁBIL"))</f>
        <v>HÁBIL</v>
      </c>
    </row>
    <row r="388" spans="1:42" ht="15.75" customHeight="1" x14ac:dyDescent="0.2">
      <c r="A388" s="22" t="s">
        <v>43</v>
      </c>
      <c r="B388" s="23">
        <v>46210</v>
      </c>
      <c r="C388" s="22" t="s">
        <v>16</v>
      </c>
      <c r="D388" s="22" t="s">
        <v>12</v>
      </c>
      <c r="E388" s="22" t="s">
        <v>13</v>
      </c>
      <c r="F388" s="22" t="s">
        <v>14</v>
      </c>
      <c r="G388" s="24">
        <v>0.3125</v>
      </c>
      <c r="H388" s="24">
        <f t="shared" si="34"/>
        <v>0.71527777777777779</v>
      </c>
      <c r="I388" s="8">
        <f t="shared" si="35"/>
        <v>0.40277777777777779</v>
      </c>
      <c r="J388" s="24">
        <v>0.31527777777777777</v>
      </c>
      <c r="K388" s="24">
        <v>0.31527777777777777</v>
      </c>
      <c r="L388" s="24">
        <f t="shared" si="32"/>
        <v>0</v>
      </c>
      <c r="M388" s="24">
        <v>0</v>
      </c>
      <c r="N388" s="8">
        <v>0</v>
      </c>
      <c r="O388" s="24">
        <f>+L388+N388</f>
        <v>0</v>
      </c>
      <c r="P388" s="22">
        <v>0</v>
      </c>
      <c r="Q388" s="25" t="s">
        <v>51</v>
      </c>
      <c r="R388" s="22" t="str">
        <f>IF(COUNTIF(fest!$A$1:$A$18,B388)&gt;0,"FESTIVO", IF(OR(WEEKDAY(B388,2)=6,WEEKDAY(B388,2)=7),"NO HÁBIL","HÁBIL"))</f>
        <v>HÁBIL</v>
      </c>
    </row>
    <row r="389" spans="1:42" ht="15.75" customHeight="1" x14ac:dyDescent="0.2">
      <c r="A389" s="22" t="s">
        <v>44</v>
      </c>
      <c r="B389" s="23">
        <v>46210</v>
      </c>
      <c r="C389" s="22" t="s">
        <v>11</v>
      </c>
      <c r="D389" s="22" t="s">
        <v>17</v>
      </c>
      <c r="E389" s="22" t="s">
        <v>14</v>
      </c>
      <c r="F389" s="22" t="s">
        <v>13</v>
      </c>
      <c r="G389" s="24">
        <v>0.71527777777777779</v>
      </c>
      <c r="H389" s="24">
        <f t="shared" si="34"/>
        <v>0.73958333333333337</v>
      </c>
      <c r="I389" s="8">
        <f t="shared" si="35"/>
        <v>2.430555555555558E-2</v>
      </c>
      <c r="J389" s="24">
        <v>0.71736111111111112</v>
      </c>
      <c r="K389" s="24">
        <v>0.72013888888888888</v>
      </c>
      <c r="L389" s="24">
        <f t="shared" si="32"/>
        <v>2.7777777777777679E-3</v>
      </c>
      <c r="M389" s="24">
        <v>0.72916666666666663</v>
      </c>
      <c r="N389" s="8">
        <f>+M389-K389</f>
        <v>9.0277777777777457E-3</v>
      </c>
      <c r="O389" s="24">
        <f>+L389+N389</f>
        <v>1.1805555555555514E-2</v>
      </c>
      <c r="P389" s="22">
        <v>7</v>
      </c>
      <c r="Q389" s="25" t="s">
        <v>48</v>
      </c>
      <c r="R389" s="22" t="str">
        <f>IF(COUNTIF(fest!$A$1:$A$18,B389)&gt;0,"FESTIVO", IF(OR(WEEKDAY(B389,2)=6,WEEKDAY(B389,2)=7),"NO HÁBIL","HÁBIL"))</f>
        <v>HÁBIL</v>
      </c>
    </row>
    <row r="390" spans="1:42" ht="15.75" customHeight="1" x14ac:dyDescent="0.2">
      <c r="A390" s="22" t="s">
        <v>44</v>
      </c>
      <c r="B390" s="23">
        <v>46210</v>
      </c>
      <c r="C390" s="22" t="s">
        <v>15</v>
      </c>
      <c r="D390" s="22" t="s">
        <v>17</v>
      </c>
      <c r="E390" s="22" t="s">
        <v>14</v>
      </c>
      <c r="F390" s="22" t="s">
        <v>13</v>
      </c>
      <c r="G390" s="24">
        <v>0.73958333333333337</v>
      </c>
      <c r="H390" s="24">
        <f t="shared" si="34"/>
        <v>0.76388888888888884</v>
      </c>
      <c r="I390" s="8">
        <f t="shared" si="35"/>
        <v>2.4305555555555469E-2</v>
      </c>
      <c r="J390" s="24">
        <v>0.72916666666666663</v>
      </c>
      <c r="K390" s="24">
        <v>0.74375000000000002</v>
      </c>
      <c r="L390" s="24">
        <f t="shared" si="32"/>
        <v>1.4583333333333393E-2</v>
      </c>
      <c r="M390" s="24">
        <v>0</v>
      </c>
      <c r="N390" s="8">
        <v>0</v>
      </c>
      <c r="O390" s="24">
        <v>0</v>
      </c>
      <c r="P390" s="22">
        <v>0</v>
      </c>
      <c r="Q390" s="25" t="s">
        <v>45</v>
      </c>
      <c r="R390" s="22" t="str">
        <f>IF(COUNTIF(fest!$A$1:$A$18,B390)&gt;0,"FESTIVO", IF(OR(WEEKDAY(B390,2)=6,WEEKDAY(B390,2)=7),"NO HÁBIL","HÁBIL"))</f>
        <v>HÁBIL</v>
      </c>
    </row>
    <row r="391" spans="1:42" ht="15.75" customHeight="1" x14ac:dyDescent="0.2">
      <c r="A391" s="22" t="s">
        <v>44</v>
      </c>
      <c r="B391" s="23">
        <v>46210</v>
      </c>
      <c r="C391" s="22" t="s">
        <v>16</v>
      </c>
      <c r="D391" s="22" t="s">
        <v>17</v>
      </c>
      <c r="E391" s="22" t="s">
        <v>14</v>
      </c>
      <c r="F391" s="22" t="s">
        <v>13</v>
      </c>
      <c r="G391" s="24">
        <v>0.76388888888888884</v>
      </c>
      <c r="H391" s="24">
        <f t="shared" si="34"/>
        <v>0.27083333333333331</v>
      </c>
      <c r="I391" s="8">
        <f t="shared" si="35"/>
        <v>-0.49305555555555552</v>
      </c>
      <c r="J391" s="24">
        <v>0.75763888888888886</v>
      </c>
      <c r="K391" s="24">
        <v>0.76527777777777772</v>
      </c>
      <c r="L391" s="24">
        <f t="shared" si="32"/>
        <v>7.6388888888888618E-3</v>
      </c>
      <c r="M391" s="24">
        <v>0.77708333333333335</v>
      </c>
      <c r="N391" s="8">
        <f>+M391-K391</f>
        <v>1.1805555555555625E-2</v>
      </c>
      <c r="O391" s="24">
        <f t="shared" ref="O391:O404" si="36">+L391+N391</f>
        <v>1.9444444444444486E-2</v>
      </c>
      <c r="P391" s="22">
        <v>5</v>
      </c>
      <c r="Q391" s="25" t="s">
        <v>48</v>
      </c>
      <c r="R391" s="22" t="str">
        <f>IF(COUNTIF(fest!$A$1:$A$18,B391)&gt;0,"FESTIVO", IF(OR(WEEKDAY(B391,2)=6,WEEKDAY(B391,2)=7),"NO HÁBIL","HÁBIL"))</f>
        <v>HÁBIL</v>
      </c>
    </row>
    <row r="392" spans="1:42" s="21" customFormat="1" ht="15.75" customHeight="1" x14ac:dyDescent="0.2">
      <c r="A392" s="22" t="s">
        <v>43</v>
      </c>
      <c r="B392" s="23">
        <v>46211</v>
      </c>
      <c r="C392" s="22" t="s">
        <v>11</v>
      </c>
      <c r="D392" s="22" t="s">
        <v>12</v>
      </c>
      <c r="E392" s="22" t="s">
        <v>13</v>
      </c>
      <c r="F392" s="22" t="s">
        <v>14</v>
      </c>
      <c r="G392" s="24">
        <v>0.27083333333333331</v>
      </c>
      <c r="H392" s="24">
        <f t="shared" si="34"/>
        <v>0.29166666666666669</v>
      </c>
      <c r="I392" s="8">
        <f t="shared" si="35"/>
        <v>2.083333333333337E-2</v>
      </c>
      <c r="J392" s="24">
        <v>0.26597222222222222</v>
      </c>
      <c r="K392" s="24">
        <v>0.27291666666666664</v>
      </c>
      <c r="L392" s="24">
        <f t="shared" si="32"/>
        <v>6.9444444444444198E-3</v>
      </c>
      <c r="M392" s="24">
        <v>0.28749999999999998</v>
      </c>
      <c r="N392" s="8">
        <f>+M392-K392</f>
        <v>1.4583333333333337E-2</v>
      </c>
      <c r="O392" s="24">
        <f t="shared" si="36"/>
        <v>2.1527777777777757E-2</v>
      </c>
      <c r="P392" s="22">
        <v>5</v>
      </c>
      <c r="Q392" s="25" t="s">
        <v>51</v>
      </c>
      <c r="R392" s="22" t="str">
        <f>IF(COUNTIF(fest!$A$1:$A$18,B392)&gt;0,"FESTIVO", IF(OR(WEEKDAY(B392,2)=6,WEEKDAY(B392,2)=7),"NO HÁBIL","HÁBIL"))</f>
        <v>HÁBIL</v>
      </c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</row>
    <row r="393" spans="1:42" ht="15.75" customHeight="1" x14ac:dyDescent="0.2">
      <c r="A393" s="22" t="s">
        <v>43</v>
      </c>
      <c r="B393" s="23">
        <v>46211</v>
      </c>
      <c r="C393" s="22" t="s">
        <v>15</v>
      </c>
      <c r="D393" s="22" t="s">
        <v>12</v>
      </c>
      <c r="E393" s="22" t="s">
        <v>13</v>
      </c>
      <c r="F393" s="22" t="s">
        <v>14</v>
      </c>
      <c r="G393" s="24">
        <v>0.29166666666666669</v>
      </c>
      <c r="H393" s="24">
        <f t="shared" si="34"/>
        <v>0.3125</v>
      </c>
      <c r="I393" s="8">
        <f t="shared" si="35"/>
        <v>2.0833333333333315E-2</v>
      </c>
      <c r="J393" s="24">
        <v>0.28749999999999998</v>
      </c>
      <c r="K393" s="24">
        <v>0.29375000000000001</v>
      </c>
      <c r="L393" s="24">
        <f t="shared" si="32"/>
        <v>6.2500000000000333E-3</v>
      </c>
      <c r="M393" s="24">
        <v>0.30763888888888891</v>
      </c>
      <c r="N393" s="8">
        <f>+M393-K393</f>
        <v>1.3888888888888895E-2</v>
      </c>
      <c r="O393" s="24">
        <f t="shared" si="36"/>
        <v>2.0138888888888928E-2</v>
      </c>
      <c r="P393" s="22">
        <v>1</v>
      </c>
      <c r="Q393" s="25" t="s">
        <v>51</v>
      </c>
      <c r="R393" s="22" t="str">
        <f>IF(COUNTIF(fest!$A$1:$A$18,B393)&gt;0,"FESTIVO", IF(OR(WEEKDAY(B393,2)=6,WEEKDAY(B393,2)=7),"NO HÁBIL","HÁBIL"))</f>
        <v>HÁBIL</v>
      </c>
    </row>
    <row r="394" spans="1:42" ht="15.75" customHeight="1" x14ac:dyDescent="0.2">
      <c r="A394" s="22" t="s">
        <v>43</v>
      </c>
      <c r="B394" s="23">
        <v>46211</v>
      </c>
      <c r="C394" s="22" t="s">
        <v>16</v>
      </c>
      <c r="D394" s="22" t="s">
        <v>12</v>
      </c>
      <c r="E394" s="22" t="s">
        <v>13</v>
      </c>
      <c r="F394" s="22" t="s">
        <v>14</v>
      </c>
      <c r="G394" s="24">
        <v>0.3125</v>
      </c>
      <c r="H394" s="24">
        <f t="shared" si="34"/>
        <v>0.71527777777777779</v>
      </c>
      <c r="I394" s="8">
        <f t="shared" si="35"/>
        <v>0.40277777777777779</v>
      </c>
      <c r="J394" s="24">
        <v>0.30763888888888891</v>
      </c>
      <c r="K394" s="24">
        <v>0.31527777777777777</v>
      </c>
      <c r="L394" s="24">
        <f t="shared" si="32"/>
        <v>7.6388888888888618E-3</v>
      </c>
      <c r="M394" s="24">
        <v>0</v>
      </c>
      <c r="N394" s="8">
        <v>0</v>
      </c>
      <c r="O394" s="24">
        <f t="shared" si="36"/>
        <v>7.6388888888888618E-3</v>
      </c>
      <c r="P394" s="22">
        <v>0</v>
      </c>
      <c r="Q394" s="25" t="s">
        <v>51</v>
      </c>
      <c r="R394" s="22" t="str">
        <f>IF(COUNTIF(fest!$A$1:$A$18,B394)&gt;0,"FESTIVO", IF(OR(WEEKDAY(B394,2)=6,WEEKDAY(B394,2)=7),"NO HÁBIL","HÁBIL"))</f>
        <v>HÁBIL</v>
      </c>
    </row>
    <row r="395" spans="1:42" ht="15.75" customHeight="1" x14ac:dyDescent="0.2">
      <c r="A395" s="22" t="s">
        <v>44</v>
      </c>
      <c r="B395" s="23">
        <v>46211</v>
      </c>
      <c r="C395" s="22" t="s">
        <v>11</v>
      </c>
      <c r="D395" s="22" t="s">
        <v>17</v>
      </c>
      <c r="E395" s="22" t="s">
        <v>14</v>
      </c>
      <c r="F395" s="22" t="s">
        <v>13</v>
      </c>
      <c r="G395" s="24">
        <v>0.71527777777777779</v>
      </c>
      <c r="H395" s="24">
        <f t="shared" si="34"/>
        <v>0.73958333333333337</v>
      </c>
      <c r="I395" s="8">
        <f t="shared" si="35"/>
        <v>2.430555555555558E-2</v>
      </c>
      <c r="J395" s="24">
        <v>0.70902777777777781</v>
      </c>
      <c r="K395" s="24">
        <v>0.71666666666666667</v>
      </c>
      <c r="L395" s="24">
        <f t="shared" si="32"/>
        <v>7.6388888888888618E-3</v>
      </c>
      <c r="M395" s="24">
        <v>0.75138888888888888</v>
      </c>
      <c r="N395" s="8">
        <f>+M395-K395</f>
        <v>3.472222222222221E-2</v>
      </c>
      <c r="O395" s="24">
        <f t="shared" si="36"/>
        <v>4.2361111111111072E-2</v>
      </c>
      <c r="P395" s="22">
        <v>6</v>
      </c>
      <c r="Q395" s="25" t="s">
        <v>48</v>
      </c>
      <c r="R395" s="22" t="str">
        <f>IF(COUNTIF(fest!$A$1:$A$18,B395)&gt;0,"FESTIVO", IF(OR(WEEKDAY(B395,2)=6,WEEKDAY(B395,2)=7),"NO HÁBIL","HÁBIL"))</f>
        <v>HÁBIL</v>
      </c>
    </row>
    <row r="396" spans="1:42" ht="15.75" customHeight="1" x14ac:dyDescent="0.2">
      <c r="A396" s="22" t="s">
        <v>44</v>
      </c>
      <c r="B396" s="23">
        <v>46211</v>
      </c>
      <c r="C396" s="22" t="s">
        <v>15</v>
      </c>
      <c r="D396" s="22" t="s">
        <v>17</v>
      </c>
      <c r="E396" s="22" t="s">
        <v>14</v>
      </c>
      <c r="F396" s="22" t="s">
        <v>13</v>
      </c>
      <c r="G396" s="24">
        <v>0.73958333333333337</v>
      </c>
      <c r="H396" s="24">
        <f t="shared" si="34"/>
        <v>0.76388888888888884</v>
      </c>
      <c r="I396" s="8">
        <f t="shared" si="35"/>
        <v>2.4305555555555469E-2</v>
      </c>
      <c r="J396" s="24">
        <v>0</v>
      </c>
      <c r="K396" s="24">
        <v>0</v>
      </c>
      <c r="L396" s="24">
        <f t="shared" si="32"/>
        <v>0</v>
      </c>
      <c r="M396" s="24">
        <v>0</v>
      </c>
      <c r="N396" s="8">
        <f>+M396-K396</f>
        <v>0</v>
      </c>
      <c r="O396" s="24">
        <f t="shared" si="36"/>
        <v>0</v>
      </c>
      <c r="P396" s="22">
        <v>0</v>
      </c>
      <c r="Q396" s="25" t="s">
        <v>46</v>
      </c>
      <c r="R396" s="22" t="str">
        <f>IF(COUNTIF(fest!$A$1:$A$18,B396)&gt;0,"FESTIVO", IF(OR(WEEKDAY(B396,2)=6,WEEKDAY(B396,2)=7),"NO HÁBIL","HÁBIL"))</f>
        <v>HÁBIL</v>
      </c>
    </row>
    <row r="397" spans="1:42" ht="15.75" customHeight="1" x14ac:dyDescent="0.2">
      <c r="A397" s="22" t="s">
        <v>44</v>
      </c>
      <c r="B397" s="23">
        <v>46211</v>
      </c>
      <c r="C397" s="22" t="s">
        <v>16</v>
      </c>
      <c r="D397" s="22" t="s">
        <v>17</v>
      </c>
      <c r="E397" s="22" t="s">
        <v>14</v>
      </c>
      <c r="F397" s="22" t="s">
        <v>13</v>
      </c>
      <c r="G397" s="24">
        <v>0.76388888888888884</v>
      </c>
      <c r="H397" s="24">
        <f t="shared" si="34"/>
        <v>0.27083333333333331</v>
      </c>
      <c r="I397" s="8">
        <f t="shared" si="35"/>
        <v>-0.49305555555555552</v>
      </c>
      <c r="J397" s="24">
        <v>0.75138888888888888</v>
      </c>
      <c r="K397" s="24">
        <v>0.76666666666666672</v>
      </c>
      <c r="L397" s="24">
        <f t="shared" ref="L397:L413" si="37">+K397-J397</f>
        <v>1.5277777777777835E-2</v>
      </c>
      <c r="M397" s="24">
        <v>0.78125</v>
      </c>
      <c r="N397" s="8">
        <f>AVERAGE(N395:N396)</f>
        <v>1.7361111111111105E-2</v>
      </c>
      <c r="O397" s="24">
        <f t="shared" si="36"/>
        <v>3.2638888888888939E-2</v>
      </c>
      <c r="P397" s="22">
        <v>4</v>
      </c>
      <c r="Q397" s="25" t="s">
        <v>48</v>
      </c>
      <c r="R397" s="22" t="str">
        <f>IF(COUNTIF(fest!$A$1:$A$18,B397)&gt;0,"FESTIVO", IF(OR(WEEKDAY(B397,2)=6,WEEKDAY(B397,2)=7),"NO HÁBIL","HÁBIL"))</f>
        <v>HÁBIL</v>
      </c>
    </row>
    <row r="398" spans="1:42" ht="15.75" customHeight="1" x14ac:dyDescent="0.2">
      <c r="A398" s="22" t="s">
        <v>43</v>
      </c>
      <c r="B398" s="23">
        <v>46212</v>
      </c>
      <c r="C398" s="22" t="s">
        <v>11</v>
      </c>
      <c r="D398" s="22" t="s">
        <v>12</v>
      </c>
      <c r="E398" s="22" t="s">
        <v>13</v>
      </c>
      <c r="F398" s="22" t="s">
        <v>14</v>
      </c>
      <c r="G398" s="24">
        <v>0.27083333333333331</v>
      </c>
      <c r="H398" s="24">
        <f t="shared" si="34"/>
        <v>0.29166666666666669</v>
      </c>
      <c r="I398" s="8">
        <f t="shared" si="35"/>
        <v>2.083333333333337E-2</v>
      </c>
      <c r="J398" s="24">
        <v>0.26458333333333334</v>
      </c>
      <c r="K398" s="24">
        <v>0.27430555555555558</v>
      </c>
      <c r="L398" s="24">
        <f t="shared" si="37"/>
        <v>9.7222222222222432E-3</v>
      </c>
      <c r="M398" s="24">
        <v>0.28749999999999998</v>
      </c>
      <c r="N398" s="8">
        <f>+M398-K398</f>
        <v>1.3194444444444398E-2</v>
      </c>
      <c r="O398" s="24">
        <f t="shared" si="36"/>
        <v>2.2916666666666641E-2</v>
      </c>
      <c r="P398" s="22">
        <v>5</v>
      </c>
      <c r="Q398" s="25" t="s">
        <v>51</v>
      </c>
      <c r="R398" s="22" t="str">
        <f>IF(COUNTIF(fest!$A$1:$A$18,B398)&gt;0,"FESTIVO", IF(OR(WEEKDAY(B398,2)=6,WEEKDAY(B398,2)=7),"NO HÁBIL","HÁBIL"))</f>
        <v>HÁBIL</v>
      </c>
    </row>
    <row r="399" spans="1:42" ht="15.75" customHeight="1" x14ac:dyDescent="0.2">
      <c r="A399" s="22" t="s">
        <v>43</v>
      </c>
      <c r="B399" s="23">
        <v>46212</v>
      </c>
      <c r="C399" s="22" t="s">
        <v>15</v>
      </c>
      <c r="D399" s="22" t="s">
        <v>12</v>
      </c>
      <c r="E399" s="22" t="s">
        <v>13</v>
      </c>
      <c r="F399" s="22" t="s">
        <v>14</v>
      </c>
      <c r="G399" s="24">
        <v>0.29166666666666669</v>
      </c>
      <c r="H399" s="24">
        <f t="shared" si="34"/>
        <v>0.3125</v>
      </c>
      <c r="I399" s="8">
        <f t="shared" si="35"/>
        <v>2.0833333333333315E-2</v>
      </c>
      <c r="J399" s="24">
        <v>0.28749999999999998</v>
      </c>
      <c r="K399" s="24">
        <v>0.29375000000000001</v>
      </c>
      <c r="L399" s="24">
        <f t="shared" si="37"/>
        <v>6.2500000000000333E-3</v>
      </c>
      <c r="M399" s="24">
        <v>0.30833333333333335</v>
      </c>
      <c r="N399" s="8">
        <f>+M399-K399</f>
        <v>1.4583333333333337E-2</v>
      </c>
      <c r="O399" s="24">
        <f t="shared" si="36"/>
        <v>2.083333333333337E-2</v>
      </c>
      <c r="P399" s="22">
        <v>3</v>
      </c>
      <c r="Q399" s="25" t="s">
        <v>51</v>
      </c>
      <c r="R399" s="22" t="str">
        <f>IF(COUNTIF(fest!$A$1:$A$18,B399)&gt;0,"FESTIVO", IF(OR(WEEKDAY(B399,2)=6,WEEKDAY(B399,2)=7),"NO HÁBIL","HÁBIL"))</f>
        <v>HÁBIL</v>
      </c>
    </row>
    <row r="400" spans="1:42" ht="15.75" customHeight="1" x14ac:dyDescent="0.2">
      <c r="A400" s="22" t="s">
        <v>43</v>
      </c>
      <c r="B400" s="23">
        <v>46212</v>
      </c>
      <c r="C400" s="22" t="s">
        <v>16</v>
      </c>
      <c r="D400" s="22" t="s">
        <v>12</v>
      </c>
      <c r="E400" s="22" t="s">
        <v>13</v>
      </c>
      <c r="F400" s="22" t="s">
        <v>14</v>
      </c>
      <c r="G400" s="24">
        <v>0.3125</v>
      </c>
      <c r="H400" s="24">
        <f t="shared" si="34"/>
        <v>0.71527777777777779</v>
      </c>
      <c r="I400" s="8">
        <f t="shared" si="35"/>
        <v>0.40277777777777779</v>
      </c>
      <c r="J400" s="24">
        <v>0.30833333333333335</v>
      </c>
      <c r="K400" s="24">
        <v>0.31458333333333333</v>
      </c>
      <c r="L400" s="24">
        <f t="shared" si="37"/>
        <v>6.2499999999999778E-3</v>
      </c>
      <c r="M400" s="24">
        <v>0.3215277777777778</v>
      </c>
      <c r="N400" s="8">
        <f>AVERAGE(N398:N399)</f>
        <v>1.3888888888888867E-2</v>
      </c>
      <c r="O400" s="24">
        <f t="shared" si="36"/>
        <v>2.0138888888888845E-2</v>
      </c>
      <c r="P400" s="22">
        <v>1</v>
      </c>
      <c r="Q400" s="25" t="s">
        <v>51</v>
      </c>
      <c r="R400" s="22" t="str">
        <f>IF(COUNTIF(fest!$A$1:$A$18,B400)&gt;0,"FESTIVO", IF(OR(WEEKDAY(B400,2)=6,WEEKDAY(B400,2)=7),"NO HÁBIL","HÁBIL"))</f>
        <v>HÁBIL</v>
      </c>
    </row>
    <row r="401" spans="1:18" ht="15.75" customHeight="1" x14ac:dyDescent="0.2">
      <c r="A401" s="22" t="s">
        <v>44</v>
      </c>
      <c r="B401" s="23">
        <v>46212</v>
      </c>
      <c r="C401" s="22" t="s">
        <v>11</v>
      </c>
      <c r="D401" s="22" t="s">
        <v>17</v>
      </c>
      <c r="E401" s="22" t="s">
        <v>14</v>
      </c>
      <c r="F401" s="22" t="s">
        <v>13</v>
      </c>
      <c r="G401" s="24">
        <v>0.71527777777777779</v>
      </c>
      <c r="H401" s="24">
        <f t="shared" si="34"/>
        <v>0.73958333333333337</v>
      </c>
      <c r="I401" s="8">
        <f t="shared" si="35"/>
        <v>2.430555555555558E-2</v>
      </c>
      <c r="J401" s="24">
        <v>0.71458333333333335</v>
      </c>
      <c r="K401" s="24">
        <v>0.71736111111111112</v>
      </c>
      <c r="L401" s="24">
        <f t="shared" si="37"/>
        <v>2.7777777777777679E-3</v>
      </c>
      <c r="M401" s="24">
        <v>0.75486111111111109</v>
      </c>
      <c r="N401" s="8">
        <f>+M401-K401</f>
        <v>3.7499999999999978E-2</v>
      </c>
      <c r="O401" s="24">
        <f t="shared" si="36"/>
        <v>4.0277777777777746E-2</v>
      </c>
      <c r="P401" s="22">
        <v>6</v>
      </c>
      <c r="Q401" s="25" t="s">
        <v>48</v>
      </c>
      <c r="R401" s="22" t="str">
        <f>IF(COUNTIF(fest!$A$1:$A$18,B401)&gt;0,"FESTIVO", IF(OR(WEEKDAY(B401,2)=6,WEEKDAY(B401,2)=7),"NO HÁBIL","HÁBIL"))</f>
        <v>HÁBIL</v>
      </c>
    </row>
    <row r="402" spans="1:18" ht="15.75" customHeight="1" x14ac:dyDescent="0.2">
      <c r="A402" s="22" t="s">
        <v>44</v>
      </c>
      <c r="B402" s="23">
        <v>46212</v>
      </c>
      <c r="C402" s="22" t="s">
        <v>15</v>
      </c>
      <c r="D402" s="22" t="s">
        <v>17</v>
      </c>
      <c r="E402" s="22" t="s">
        <v>14</v>
      </c>
      <c r="F402" s="22" t="s">
        <v>13</v>
      </c>
      <c r="G402" s="24">
        <v>0.73958333333333337</v>
      </c>
      <c r="H402" s="24">
        <f t="shared" si="34"/>
        <v>0.76388888888888884</v>
      </c>
      <c r="I402" s="8">
        <f t="shared" si="35"/>
        <v>2.4305555555555469E-2</v>
      </c>
      <c r="J402" s="24">
        <v>0</v>
      </c>
      <c r="K402" s="24">
        <v>0</v>
      </c>
      <c r="L402" s="24">
        <f t="shared" si="37"/>
        <v>0</v>
      </c>
      <c r="M402" s="24">
        <v>0</v>
      </c>
      <c r="N402" s="8">
        <f>+M402-K402</f>
        <v>0</v>
      </c>
      <c r="O402" s="24">
        <f t="shared" si="36"/>
        <v>0</v>
      </c>
      <c r="P402" s="22">
        <v>0</v>
      </c>
      <c r="Q402" s="25" t="s">
        <v>46</v>
      </c>
      <c r="R402" s="22" t="str">
        <f>IF(COUNTIF(fest!$A$1:$A$18,B402)&gt;0,"FESTIVO", IF(OR(WEEKDAY(B402,2)=6,WEEKDAY(B402,2)=7),"NO HÁBIL","HÁBIL"))</f>
        <v>HÁBIL</v>
      </c>
    </row>
    <row r="403" spans="1:18" ht="15.75" customHeight="1" x14ac:dyDescent="0.2">
      <c r="A403" s="22" t="s">
        <v>44</v>
      </c>
      <c r="B403" s="23">
        <v>46212</v>
      </c>
      <c r="C403" s="22" t="s">
        <v>16</v>
      </c>
      <c r="D403" s="22" t="s">
        <v>17</v>
      </c>
      <c r="E403" s="22" t="s">
        <v>14</v>
      </c>
      <c r="F403" s="22" t="s">
        <v>13</v>
      </c>
      <c r="G403" s="24">
        <v>0.76388888888888884</v>
      </c>
      <c r="H403" s="24">
        <f t="shared" si="34"/>
        <v>0.27083333333333331</v>
      </c>
      <c r="I403" s="8">
        <f t="shared" si="35"/>
        <v>-0.49305555555555552</v>
      </c>
      <c r="J403" s="24">
        <v>0.76180555555555551</v>
      </c>
      <c r="K403" s="24">
        <v>0.76597222222222228</v>
      </c>
      <c r="L403" s="24">
        <f t="shared" si="37"/>
        <v>4.1666666666667629E-3</v>
      </c>
      <c r="M403" s="24">
        <v>0.73402777777777772</v>
      </c>
      <c r="N403" s="8">
        <f>AVERAGE(N401:N402)</f>
        <v>1.8749999999999989E-2</v>
      </c>
      <c r="O403" s="24">
        <f t="shared" si="36"/>
        <v>2.2916666666666752E-2</v>
      </c>
      <c r="P403" s="22">
        <v>4</v>
      </c>
      <c r="Q403" s="25" t="s">
        <v>47</v>
      </c>
      <c r="R403" s="22" t="str">
        <f>IF(COUNTIF(fest!$A$1:$A$18,B403)&gt;0,"FESTIVO", IF(OR(WEEKDAY(B403,2)=6,WEEKDAY(B403,2)=7),"NO HÁBIL","HÁBIL"))</f>
        <v>HÁBIL</v>
      </c>
    </row>
    <row r="404" spans="1:18" ht="15.75" customHeight="1" x14ac:dyDescent="0.2">
      <c r="A404" s="22" t="s">
        <v>43</v>
      </c>
      <c r="B404" s="23">
        <v>46213</v>
      </c>
      <c r="C404" s="22" t="s">
        <v>11</v>
      </c>
      <c r="D404" s="22" t="s">
        <v>12</v>
      </c>
      <c r="E404" s="22" t="s">
        <v>13</v>
      </c>
      <c r="F404" s="22" t="s">
        <v>14</v>
      </c>
      <c r="G404" s="24">
        <v>0.27083333333333331</v>
      </c>
      <c r="H404" s="24">
        <f t="shared" si="34"/>
        <v>0.29166666666666669</v>
      </c>
      <c r="I404" s="8">
        <f t="shared" si="35"/>
        <v>2.083333333333337E-2</v>
      </c>
      <c r="J404" s="24">
        <v>0.26597222222222222</v>
      </c>
      <c r="K404" s="24">
        <v>0.27361111111111114</v>
      </c>
      <c r="L404" s="24">
        <f t="shared" si="37"/>
        <v>7.6388888888889173E-3</v>
      </c>
      <c r="M404" s="24">
        <v>0.28888888888888886</v>
      </c>
      <c r="N404" s="8">
        <f>+M404-K404</f>
        <v>1.5277777777777724E-2</v>
      </c>
      <c r="O404" s="24">
        <f t="shared" si="36"/>
        <v>2.2916666666666641E-2</v>
      </c>
      <c r="P404" s="22">
        <v>1</v>
      </c>
      <c r="Q404" s="25" t="s">
        <v>51</v>
      </c>
      <c r="R404" s="22" t="str">
        <f>IF(COUNTIF(fest!$A$1:$A$18,B404)&gt;0,"FESTIVO", IF(OR(WEEKDAY(B404,2)=6,WEEKDAY(B404,2)=7),"NO HÁBIL","HÁBIL"))</f>
        <v>HÁBIL</v>
      </c>
    </row>
    <row r="405" spans="1:18" ht="15.75" customHeight="1" x14ac:dyDescent="0.2">
      <c r="A405" s="22" t="s">
        <v>43</v>
      </c>
      <c r="B405" s="23">
        <v>46213</v>
      </c>
      <c r="C405" s="22" t="s">
        <v>15</v>
      </c>
      <c r="D405" s="22" t="s">
        <v>12</v>
      </c>
      <c r="E405" s="22" t="s">
        <v>13</v>
      </c>
      <c r="F405" s="22" t="s">
        <v>14</v>
      </c>
      <c r="G405" s="24">
        <v>0.29166666666666669</v>
      </c>
      <c r="H405" s="24">
        <f t="shared" si="34"/>
        <v>0.3125</v>
      </c>
      <c r="I405" s="8">
        <f t="shared" si="35"/>
        <v>2.0833333333333315E-2</v>
      </c>
      <c r="J405" s="24">
        <v>0.28888888888888886</v>
      </c>
      <c r="K405" s="24">
        <v>0.29305555555555557</v>
      </c>
      <c r="L405" s="24">
        <f t="shared" si="37"/>
        <v>4.1666666666667074E-3</v>
      </c>
      <c r="M405" s="24">
        <v>0</v>
      </c>
      <c r="N405" s="8">
        <v>0</v>
      </c>
      <c r="O405" s="24">
        <v>0</v>
      </c>
      <c r="P405" s="22">
        <v>0</v>
      </c>
      <c r="Q405" s="25" t="s">
        <v>51</v>
      </c>
      <c r="R405" s="22" t="str">
        <f>IF(COUNTIF(fest!$A$1:$A$18,B405)&gt;0,"FESTIVO", IF(OR(WEEKDAY(B405,2)=6,WEEKDAY(B405,2)=7),"NO HÁBIL","HÁBIL"))</f>
        <v>HÁBIL</v>
      </c>
    </row>
    <row r="406" spans="1:18" ht="15.75" customHeight="1" x14ac:dyDescent="0.2">
      <c r="A406" s="22" t="s">
        <v>43</v>
      </c>
      <c r="B406" s="23">
        <v>46213</v>
      </c>
      <c r="C406" s="22" t="s">
        <v>16</v>
      </c>
      <c r="D406" s="22" t="s">
        <v>12</v>
      </c>
      <c r="E406" s="22" t="s">
        <v>13</v>
      </c>
      <c r="F406" s="22" t="s">
        <v>14</v>
      </c>
      <c r="G406" s="24">
        <v>0.3125</v>
      </c>
      <c r="H406" s="24">
        <f t="shared" si="34"/>
        <v>0.71527777777777779</v>
      </c>
      <c r="I406" s="8">
        <f t="shared" si="35"/>
        <v>0.40277777777777779</v>
      </c>
      <c r="J406" s="24">
        <v>0.30694444444444446</v>
      </c>
      <c r="K406" s="24">
        <v>0.31388888888888888</v>
      </c>
      <c r="L406" s="24">
        <f t="shared" si="37"/>
        <v>6.9444444444444198E-3</v>
      </c>
      <c r="M406" s="24">
        <v>0.32083333333333336</v>
      </c>
      <c r="N406" s="8">
        <f>AVERAGE(N404:N405)</f>
        <v>7.6388888888888618E-3</v>
      </c>
      <c r="O406" s="24">
        <f t="shared" ref="O406:O439" si="38">+L406+N406</f>
        <v>1.4583333333333282E-2</v>
      </c>
      <c r="P406" s="22">
        <v>3</v>
      </c>
      <c r="Q406" s="25" t="s">
        <v>51</v>
      </c>
      <c r="R406" s="22" t="str">
        <f>IF(COUNTIF(fest!$A$1:$A$18,B406)&gt;0,"FESTIVO", IF(OR(WEEKDAY(B406,2)=6,WEEKDAY(B406,2)=7),"NO HÁBIL","HÁBIL"))</f>
        <v>HÁBIL</v>
      </c>
    </row>
    <row r="407" spans="1:18" ht="15.75" customHeight="1" x14ac:dyDescent="0.2">
      <c r="A407" s="22" t="s">
        <v>44</v>
      </c>
      <c r="B407" s="23">
        <v>46213</v>
      </c>
      <c r="C407" s="22" t="s">
        <v>11</v>
      </c>
      <c r="D407" s="22" t="s">
        <v>17</v>
      </c>
      <c r="E407" s="22" t="s">
        <v>14</v>
      </c>
      <c r="F407" s="22" t="s">
        <v>13</v>
      </c>
      <c r="G407" s="24">
        <v>0.71527777777777779</v>
      </c>
      <c r="H407" s="24">
        <f t="shared" si="34"/>
        <v>0.73958333333333337</v>
      </c>
      <c r="I407" s="8">
        <f t="shared" si="35"/>
        <v>2.430555555555558E-2</v>
      </c>
      <c r="J407" s="24">
        <v>0.66874999999999996</v>
      </c>
      <c r="K407" s="24">
        <v>0.67708333333333337</v>
      </c>
      <c r="L407" s="24">
        <f t="shared" si="37"/>
        <v>8.3333333333334147E-3</v>
      </c>
      <c r="M407" s="24">
        <v>0.69374999999999998</v>
      </c>
      <c r="N407" s="8">
        <f>+M407-K407</f>
        <v>1.6666666666666607E-2</v>
      </c>
      <c r="O407" s="24">
        <f t="shared" si="38"/>
        <v>2.5000000000000022E-2</v>
      </c>
      <c r="P407" s="22">
        <v>0</v>
      </c>
      <c r="Q407" s="25" t="s">
        <v>45</v>
      </c>
      <c r="R407" s="22" t="str">
        <f>IF(COUNTIF(fest!$A$1:$A$18,B407)&gt;0,"FESTIVO", IF(OR(WEEKDAY(B407,2)=6,WEEKDAY(B407,2)=7),"NO HÁBIL","HÁBIL"))</f>
        <v>HÁBIL</v>
      </c>
    </row>
    <row r="408" spans="1:18" ht="15.75" customHeight="1" x14ac:dyDescent="0.2">
      <c r="A408" s="22" t="s">
        <v>44</v>
      </c>
      <c r="B408" s="23">
        <v>46213</v>
      </c>
      <c r="C408" s="22" t="s">
        <v>15</v>
      </c>
      <c r="D408" s="22" t="s">
        <v>17</v>
      </c>
      <c r="E408" s="22" t="s">
        <v>14</v>
      </c>
      <c r="F408" s="22" t="s">
        <v>13</v>
      </c>
      <c r="G408" s="24">
        <v>0.73958333333333337</v>
      </c>
      <c r="H408" s="24">
        <f t="shared" si="34"/>
        <v>0.76388888888888884</v>
      </c>
      <c r="I408" s="8">
        <f t="shared" si="35"/>
        <v>2.4305555555555469E-2</v>
      </c>
      <c r="J408" s="24">
        <v>0.69374999999999998</v>
      </c>
      <c r="K408" s="24">
        <v>0.7006944444444444</v>
      </c>
      <c r="L408" s="24">
        <f t="shared" si="37"/>
        <v>6.9444444444444198E-3</v>
      </c>
      <c r="M408" s="24">
        <v>0.71388888888888891</v>
      </c>
      <c r="N408" s="8">
        <f>+M408-K408</f>
        <v>1.3194444444444509E-2</v>
      </c>
      <c r="O408" s="24">
        <f t="shared" si="38"/>
        <v>2.0138888888888928E-2</v>
      </c>
      <c r="P408" s="22">
        <v>0</v>
      </c>
      <c r="Q408" s="25" t="s">
        <v>45</v>
      </c>
      <c r="R408" s="22" t="str">
        <f>IF(COUNTIF(fest!$A$1:$A$18,B408)&gt;0,"FESTIVO", IF(OR(WEEKDAY(B408,2)=6,WEEKDAY(B408,2)=7),"NO HÁBIL","HÁBIL"))</f>
        <v>HÁBIL</v>
      </c>
    </row>
    <row r="409" spans="1:18" ht="15.75" customHeight="1" x14ac:dyDescent="0.2">
      <c r="A409" s="22" t="s">
        <v>44</v>
      </c>
      <c r="B409" s="23">
        <v>46213</v>
      </c>
      <c r="C409" s="22" t="s">
        <v>16</v>
      </c>
      <c r="D409" s="22" t="s">
        <v>17</v>
      </c>
      <c r="E409" s="22" t="s">
        <v>14</v>
      </c>
      <c r="F409" s="22" t="s">
        <v>13</v>
      </c>
      <c r="G409" s="24">
        <v>0.76388888888888884</v>
      </c>
      <c r="H409" s="24">
        <f t="shared" si="34"/>
        <v>0.27083333333333331</v>
      </c>
      <c r="I409" s="8">
        <f t="shared" si="35"/>
        <v>-0.49305555555555552</v>
      </c>
      <c r="J409" s="24">
        <v>0.71388888888888891</v>
      </c>
      <c r="K409" s="24">
        <v>0.72291666666666665</v>
      </c>
      <c r="L409" s="24">
        <f t="shared" si="37"/>
        <v>9.0277777777777457E-3</v>
      </c>
      <c r="M409" s="24">
        <v>0.74027777777777781</v>
      </c>
      <c r="N409" s="8">
        <f>AVERAGE(N407:N408)</f>
        <v>1.4930555555555558E-2</v>
      </c>
      <c r="O409" s="24">
        <f t="shared" si="38"/>
        <v>2.3958333333333304E-2</v>
      </c>
      <c r="P409" s="22">
        <v>5</v>
      </c>
      <c r="Q409" s="25" t="s">
        <v>48</v>
      </c>
      <c r="R409" s="22" t="str">
        <f>IF(COUNTIF(fest!$A$1:$A$18,B409)&gt;0,"FESTIVO", IF(OR(WEEKDAY(B409,2)=6,WEEKDAY(B409,2)=7),"NO HÁBIL","HÁBIL"))</f>
        <v>HÁBIL</v>
      </c>
    </row>
    <row r="410" spans="1:18" ht="15.75" customHeight="1" x14ac:dyDescent="0.2">
      <c r="A410" s="22" t="s">
        <v>43</v>
      </c>
      <c r="B410" s="23">
        <v>46217</v>
      </c>
      <c r="C410" s="22" t="s">
        <v>11</v>
      </c>
      <c r="D410" s="22" t="s">
        <v>12</v>
      </c>
      <c r="E410" s="22" t="s">
        <v>13</v>
      </c>
      <c r="F410" s="22" t="s">
        <v>14</v>
      </c>
      <c r="G410" s="24">
        <v>0.27083333333333331</v>
      </c>
      <c r="H410" s="24">
        <f t="shared" si="34"/>
        <v>0.29166666666666669</v>
      </c>
      <c r="I410" s="8">
        <f t="shared" si="35"/>
        <v>2.083333333333337E-2</v>
      </c>
      <c r="J410" s="24">
        <v>0.26527777777777778</v>
      </c>
      <c r="K410" s="24">
        <v>0.2722222222222222</v>
      </c>
      <c r="L410" s="24">
        <f t="shared" si="37"/>
        <v>6.9444444444444198E-3</v>
      </c>
      <c r="M410" s="24">
        <v>0.28819444444444442</v>
      </c>
      <c r="N410" s="8">
        <f t="shared" ref="N410:N419" si="39">+M410-K410</f>
        <v>1.5972222222222221E-2</v>
      </c>
      <c r="O410" s="24">
        <f t="shared" si="38"/>
        <v>2.2916666666666641E-2</v>
      </c>
      <c r="P410" s="22">
        <v>1</v>
      </c>
      <c r="Q410" s="25" t="s">
        <v>51</v>
      </c>
      <c r="R410" s="22" t="str">
        <f>IF(COUNTIF(fest!$A$1:$A$18,B410)&gt;0,"FESTIVO", IF(OR(WEEKDAY(B410,2)=6,WEEKDAY(B410,2)=7),"NO HÁBIL","HÁBIL"))</f>
        <v>HÁBIL</v>
      </c>
    </row>
    <row r="411" spans="1:18" ht="15.75" customHeight="1" x14ac:dyDescent="0.2">
      <c r="A411" s="22" t="s">
        <v>43</v>
      </c>
      <c r="B411" s="23">
        <v>46217</v>
      </c>
      <c r="C411" s="22" t="s">
        <v>15</v>
      </c>
      <c r="D411" s="22" t="s">
        <v>12</v>
      </c>
      <c r="E411" s="22" t="s">
        <v>13</v>
      </c>
      <c r="F411" s="22" t="s">
        <v>14</v>
      </c>
      <c r="G411" s="24">
        <v>0.29166666666666669</v>
      </c>
      <c r="H411" s="24">
        <f t="shared" si="34"/>
        <v>0.3125</v>
      </c>
      <c r="I411" s="8">
        <f t="shared" si="35"/>
        <v>2.0833333333333315E-2</v>
      </c>
      <c r="J411" s="24">
        <v>0.28819444444444442</v>
      </c>
      <c r="K411" s="24">
        <v>0.29375000000000001</v>
      </c>
      <c r="L411" s="24">
        <f t="shared" si="37"/>
        <v>5.5555555555555913E-3</v>
      </c>
      <c r="M411" s="24">
        <v>0.30833333333333335</v>
      </c>
      <c r="N411" s="8">
        <f t="shared" si="39"/>
        <v>1.4583333333333337E-2</v>
      </c>
      <c r="O411" s="24">
        <f t="shared" si="38"/>
        <v>2.0138888888888928E-2</v>
      </c>
      <c r="P411" s="22">
        <v>1</v>
      </c>
      <c r="Q411" s="25" t="s">
        <v>51</v>
      </c>
      <c r="R411" s="22" t="str">
        <f>IF(COUNTIF(fest!$A$1:$A$18,B411)&gt;0,"FESTIVO", IF(OR(WEEKDAY(B411,2)=6,WEEKDAY(B411,2)=7),"NO HÁBIL","HÁBIL"))</f>
        <v>HÁBIL</v>
      </c>
    </row>
    <row r="412" spans="1:18" ht="15.75" customHeight="1" x14ac:dyDescent="0.2">
      <c r="A412" s="22" t="s">
        <v>43</v>
      </c>
      <c r="B412" s="23">
        <v>46217</v>
      </c>
      <c r="C412" s="22" t="s">
        <v>16</v>
      </c>
      <c r="D412" s="22" t="s">
        <v>12</v>
      </c>
      <c r="E412" s="22" t="s">
        <v>13</v>
      </c>
      <c r="F412" s="22" t="s">
        <v>14</v>
      </c>
      <c r="G412" s="24">
        <v>0.3125</v>
      </c>
      <c r="H412" s="24">
        <f t="shared" si="34"/>
        <v>0.71527777777777779</v>
      </c>
      <c r="I412" s="8">
        <f t="shared" si="35"/>
        <v>0.40277777777777779</v>
      </c>
      <c r="J412" s="24">
        <v>0.30833333333333335</v>
      </c>
      <c r="K412" s="24">
        <v>0.31458333333333333</v>
      </c>
      <c r="L412" s="24">
        <f t="shared" si="37"/>
        <v>6.2499999999999778E-3</v>
      </c>
      <c r="M412" s="24">
        <v>0.3215277777777778</v>
      </c>
      <c r="N412" s="8">
        <f t="shared" si="39"/>
        <v>6.9444444444444753E-3</v>
      </c>
      <c r="O412" s="24">
        <f t="shared" si="38"/>
        <v>1.3194444444444453E-2</v>
      </c>
      <c r="P412" s="22">
        <v>1</v>
      </c>
      <c r="Q412" s="25" t="s">
        <v>51</v>
      </c>
      <c r="R412" s="22" t="str">
        <f>IF(COUNTIF(fest!$A$1:$A$18,B412)&gt;0,"FESTIVO", IF(OR(WEEKDAY(B412,2)=6,WEEKDAY(B412,2)=7),"NO HÁBIL","HÁBIL"))</f>
        <v>HÁBIL</v>
      </c>
    </row>
    <row r="413" spans="1:18" ht="15.75" customHeight="1" x14ac:dyDescent="0.2">
      <c r="A413" s="22" t="s">
        <v>44</v>
      </c>
      <c r="B413" s="23">
        <v>46217</v>
      </c>
      <c r="C413" s="22" t="s">
        <v>11</v>
      </c>
      <c r="D413" s="22" t="s">
        <v>17</v>
      </c>
      <c r="E413" s="22" t="s">
        <v>14</v>
      </c>
      <c r="F413" s="22" t="s">
        <v>13</v>
      </c>
      <c r="G413" s="24">
        <v>0.71527777777777779</v>
      </c>
      <c r="H413" s="24">
        <f t="shared" si="34"/>
        <v>0.73958333333333337</v>
      </c>
      <c r="I413" s="8">
        <f t="shared" si="35"/>
        <v>2.430555555555558E-2</v>
      </c>
      <c r="J413" s="24">
        <v>0.71111111111111114</v>
      </c>
      <c r="K413" s="24">
        <v>0.71736111111111112</v>
      </c>
      <c r="L413" s="24">
        <f t="shared" si="37"/>
        <v>6.2499999999999778E-3</v>
      </c>
      <c r="M413" s="24">
        <v>0.73263888888888884</v>
      </c>
      <c r="N413" s="8">
        <f t="shared" si="39"/>
        <v>1.5277777777777724E-2</v>
      </c>
      <c r="O413" s="24">
        <f t="shared" si="38"/>
        <v>2.1527777777777701E-2</v>
      </c>
      <c r="P413" s="22">
        <v>6</v>
      </c>
      <c r="Q413" s="25" t="s">
        <v>48</v>
      </c>
      <c r="R413" s="22" t="str">
        <f>IF(COUNTIF(fest!$A$1:$A$18,B413)&gt;0,"FESTIVO", IF(OR(WEEKDAY(B413,2)=6,WEEKDAY(B413,2)=7),"NO HÁBIL","HÁBIL"))</f>
        <v>HÁBIL</v>
      </c>
    </row>
    <row r="414" spans="1:18" ht="15.75" customHeight="1" x14ac:dyDescent="0.2">
      <c r="A414" s="22" t="s">
        <v>44</v>
      </c>
      <c r="B414" s="23">
        <v>46217</v>
      </c>
      <c r="C414" s="22" t="s">
        <v>15</v>
      </c>
      <c r="D414" s="22" t="s">
        <v>17</v>
      </c>
      <c r="E414" s="22" t="s">
        <v>14</v>
      </c>
      <c r="F414" s="22" t="s">
        <v>13</v>
      </c>
      <c r="G414" s="24">
        <v>0.73958333333333337</v>
      </c>
      <c r="H414" s="24">
        <f t="shared" si="34"/>
        <v>0.76388888888888884</v>
      </c>
      <c r="I414" s="8">
        <f t="shared" si="35"/>
        <v>2.4305555555555469E-2</v>
      </c>
      <c r="J414" s="24">
        <v>0.74236111111111114</v>
      </c>
      <c r="K414" s="24">
        <v>0</v>
      </c>
      <c r="L414" s="24">
        <v>0</v>
      </c>
      <c r="M414" s="24">
        <v>0</v>
      </c>
      <c r="N414" s="8">
        <f t="shared" si="39"/>
        <v>0</v>
      </c>
      <c r="O414" s="24">
        <f t="shared" si="38"/>
        <v>0</v>
      </c>
      <c r="P414" s="22">
        <v>0</v>
      </c>
      <c r="Q414" s="25" t="s">
        <v>45</v>
      </c>
      <c r="R414" s="22" t="str">
        <f>IF(COUNTIF(fest!$A$1:$A$18,B414)&gt;0,"FESTIVO", IF(OR(WEEKDAY(B414,2)=6,WEEKDAY(B414,2)=7),"NO HÁBIL","HÁBIL"))</f>
        <v>HÁBIL</v>
      </c>
    </row>
    <row r="415" spans="1:18" ht="15.75" customHeight="1" x14ac:dyDescent="0.2">
      <c r="A415" s="22" t="s">
        <v>44</v>
      </c>
      <c r="B415" s="23">
        <v>46217</v>
      </c>
      <c r="C415" s="22" t="s">
        <v>16</v>
      </c>
      <c r="D415" s="22" t="s">
        <v>17</v>
      </c>
      <c r="E415" s="22" t="s">
        <v>14</v>
      </c>
      <c r="F415" s="22" t="s">
        <v>13</v>
      </c>
      <c r="G415" s="24">
        <v>0.76388888888888884</v>
      </c>
      <c r="H415" s="24">
        <f t="shared" si="34"/>
        <v>0.27083333333333331</v>
      </c>
      <c r="I415" s="8">
        <f t="shared" si="35"/>
        <v>-0.49305555555555552</v>
      </c>
      <c r="J415" s="24">
        <v>0.75416666666666665</v>
      </c>
      <c r="K415" s="24">
        <v>0.76111111111111107</v>
      </c>
      <c r="L415" s="24">
        <f t="shared" ref="L415:L446" si="40">+K415-J415</f>
        <v>6.9444444444444198E-3</v>
      </c>
      <c r="M415" s="24">
        <v>0.77222222222222225</v>
      </c>
      <c r="N415" s="8">
        <f t="shared" si="39"/>
        <v>1.1111111111111183E-2</v>
      </c>
      <c r="O415" s="24">
        <f t="shared" si="38"/>
        <v>1.8055555555555602E-2</v>
      </c>
      <c r="P415" s="22">
        <v>8</v>
      </c>
      <c r="Q415" s="25" t="s">
        <v>47</v>
      </c>
      <c r="R415" s="22" t="str">
        <f>IF(COUNTIF(fest!$A$1:$A$18,B415)&gt;0,"FESTIVO", IF(OR(WEEKDAY(B415,2)=6,WEEKDAY(B415,2)=7),"NO HÁBIL","HÁBIL"))</f>
        <v>HÁBIL</v>
      </c>
    </row>
    <row r="416" spans="1:18" ht="15.75" customHeight="1" x14ac:dyDescent="0.2">
      <c r="A416" s="22" t="s">
        <v>43</v>
      </c>
      <c r="B416" s="23">
        <v>46218</v>
      </c>
      <c r="C416" s="22" t="s">
        <v>11</v>
      </c>
      <c r="D416" s="22" t="s">
        <v>12</v>
      </c>
      <c r="E416" s="22" t="s">
        <v>13</v>
      </c>
      <c r="F416" s="22" t="s">
        <v>14</v>
      </c>
      <c r="G416" s="24">
        <v>0.27083333333333331</v>
      </c>
      <c r="H416" s="24">
        <f t="shared" si="34"/>
        <v>0.29166666666666669</v>
      </c>
      <c r="I416" s="8">
        <f t="shared" si="35"/>
        <v>2.083333333333337E-2</v>
      </c>
      <c r="J416" s="24">
        <v>0.27430555555555558</v>
      </c>
      <c r="K416" s="24">
        <v>0.28125</v>
      </c>
      <c r="L416" s="24">
        <f t="shared" si="40"/>
        <v>6.9444444444444198E-3</v>
      </c>
      <c r="M416" s="24">
        <v>0.29652777777777778</v>
      </c>
      <c r="N416" s="8">
        <f t="shared" si="39"/>
        <v>1.5277777777777779E-2</v>
      </c>
      <c r="O416" s="24">
        <f t="shared" si="38"/>
        <v>2.2222222222222199E-2</v>
      </c>
      <c r="P416" s="22">
        <v>3</v>
      </c>
      <c r="Q416" s="25" t="s">
        <v>51</v>
      </c>
      <c r="R416" s="22" t="str">
        <f>IF(COUNTIF(fest!$A$1:$A$18,B416)&gt;0,"FESTIVO", IF(OR(WEEKDAY(B416,2)=6,WEEKDAY(B416,2)=7),"NO HÁBIL","HÁBIL"))</f>
        <v>HÁBIL</v>
      </c>
    </row>
    <row r="417" spans="1:18" ht="15.75" customHeight="1" x14ac:dyDescent="0.2">
      <c r="A417" s="22" t="s">
        <v>43</v>
      </c>
      <c r="B417" s="23">
        <v>46218</v>
      </c>
      <c r="C417" s="22" t="s">
        <v>15</v>
      </c>
      <c r="D417" s="22" t="s">
        <v>12</v>
      </c>
      <c r="E417" s="22" t="s">
        <v>13</v>
      </c>
      <c r="F417" s="22" t="s">
        <v>14</v>
      </c>
      <c r="G417" s="24">
        <v>0.29166666666666669</v>
      </c>
      <c r="H417" s="24">
        <f t="shared" si="34"/>
        <v>0.3125</v>
      </c>
      <c r="I417" s="8">
        <f t="shared" si="35"/>
        <v>2.0833333333333315E-2</v>
      </c>
      <c r="J417" s="24">
        <v>0.29652777777777778</v>
      </c>
      <c r="K417" s="24">
        <v>0.30208333333333331</v>
      </c>
      <c r="L417" s="24">
        <f t="shared" si="40"/>
        <v>5.5555555555555358E-3</v>
      </c>
      <c r="M417" s="24">
        <v>0.31527777777777777</v>
      </c>
      <c r="N417" s="8">
        <f t="shared" si="39"/>
        <v>1.3194444444444453E-2</v>
      </c>
      <c r="O417" s="24">
        <f t="shared" si="38"/>
        <v>1.8749999999999989E-2</v>
      </c>
      <c r="P417" s="22">
        <v>4</v>
      </c>
      <c r="Q417" s="25" t="s">
        <v>51</v>
      </c>
      <c r="R417" s="22" t="str">
        <f>IF(COUNTIF(fest!$A$1:$A$18,B417)&gt;0,"FESTIVO", IF(OR(WEEKDAY(B417,2)=6,WEEKDAY(B417,2)=7),"NO HÁBIL","HÁBIL"))</f>
        <v>HÁBIL</v>
      </c>
    </row>
    <row r="418" spans="1:18" ht="15.75" customHeight="1" x14ac:dyDescent="0.2">
      <c r="A418" s="22" t="s">
        <v>43</v>
      </c>
      <c r="B418" s="23">
        <v>46218</v>
      </c>
      <c r="C418" s="22" t="s">
        <v>16</v>
      </c>
      <c r="D418" s="22" t="s">
        <v>12</v>
      </c>
      <c r="E418" s="22" t="s">
        <v>13</v>
      </c>
      <c r="F418" s="22" t="s">
        <v>14</v>
      </c>
      <c r="G418" s="24">
        <v>0.3125</v>
      </c>
      <c r="H418" s="24">
        <f t="shared" si="34"/>
        <v>0.71527777777777779</v>
      </c>
      <c r="I418" s="8">
        <f t="shared" si="35"/>
        <v>0.40277777777777779</v>
      </c>
      <c r="J418" s="24">
        <v>0.31527777777777777</v>
      </c>
      <c r="K418" s="24">
        <v>0.32291666666666669</v>
      </c>
      <c r="L418" s="24">
        <f t="shared" si="40"/>
        <v>7.6388888888889173E-3</v>
      </c>
      <c r="M418" s="24">
        <v>0.32847222222222222</v>
      </c>
      <c r="N418" s="8">
        <f t="shared" si="39"/>
        <v>5.5555555555555358E-3</v>
      </c>
      <c r="O418" s="24">
        <f t="shared" si="38"/>
        <v>1.3194444444444453E-2</v>
      </c>
      <c r="P418" s="22">
        <v>1</v>
      </c>
      <c r="Q418" s="25" t="s">
        <v>51</v>
      </c>
      <c r="R418" s="22" t="str">
        <f>IF(COUNTIF(fest!$A$1:$A$18,B418)&gt;0,"FESTIVO", IF(OR(WEEKDAY(B418,2)=6,WEEKDAY(B418,2)=7),"NO HÁBIL","HÁBIL"))</f>
        <v>HÁBIL</v>
      </c>
    </row>
    <row r="419" spans="1:18" ht="15.75" customHeight="1" x14ac:dyDescent="0.2">
      <c r="A419" s="22" t="s">
        <v>44</v>
      </c>
      <c r="B419" s="23">
        <v>46218</v>
      </c>
      <c r="C419" s="22" t="s">
        <v>11</v>
      </c>
      <c r="D419" s="22" t="s">
        <v>17</v>
      </c>
      <c r="E419" s="22" t="s">
        <v>14</v>
      </c>
      <c r="F419" s="22" t="s">
        <v>13</v>
      </c>
      <c r="G419" s="24">
        <v>0.71527777777777779</v>
      </c>
      <c r="H419" s="24">
        <f t="shared" si="34"/>
        <v>0.73958333333333337</v>
      </c>
      <c r="I419" s="8">
        <f t="shared" si="35"/>
        <v>2.430555555555558E-2</v>
      </c>
      <c r="J419" s="24">
        <v>0.71111111111111114</v>
      </c>
      <c r="K419" s="24">
        <v>0.71597222222222223</v>
      </c>
      <c r="L419" s="24">
        <f t="shared" si="40"/>
        <v>4.8611111111110938E-3</v>
      </c>
      <c r="M419" s="24">
        <v>0.74444444444444446</v>
      </c>
      <c r="N419" s="8">
        <f t="shared" si="39"/>
        <v>2.8472222222222232E-2</v>
      </c>
      <c r="O419" s="24">
        <f t="shared" si="38"/>
        <v>3.3333333333333326E-2</v>
      </c>
      <c r="P419" s="22">
        <v>7</v>
      </c>
      <c r="Q419" s="25" t="s">
        <v>48</v>
      </c>
      <c r="R419" s="22" t="str">
        <f>IF(COUNTIF(fest!$A$1:$A$18,B419)&gt;0,"FESTIVO", IF(OR(WEEKDAY(B419,2)=6,WEEKDAY(B419,2)=7),"NO HÁBIL","HÁBIL"))</f>
        <v>HÁBIL</v>
      </c>
    </row>
    <row r="420" spans="1:18" ht="15.75" customHeight="1" x14ac:dyDescent="0.2">
      <c r="A420" s="22" t="s">
        <v>44</v>
      </c>
      <c r="B420" s="23">
        <v>46218</v>
      </c>
      <c r="C420" s="22" t="s">
        <v>15</v>
      </c>
      <c r="D420" s="22" t="s">
        <v>17</v>
      </c>
      <c r="E420" s="22" t="s">
        <v>14</v>
      </c>
      <c r="F420" s="22" t="s">
        <v>13</v>
      </c>
      <c r="G420" s="24">
        <v>0.73958333333333337</v>
      </c>
      <c r="H420" s="24">
        <f t="shared" si="34"/>
        <v>0.76388888888888884</v>
      </c>
      <c r="I420" s="8">
        <f t="shared" si="35"/>
        <v>2.4305555555555469E-2</v>
      </c>
      <c r="J420" s="24">
        <v>0.74444444444444446</v>
      </c>
      <c r="K420" s="24">
        <v>0.74583333333333335</v>
      </c>
      <c r="L420" s="24">
        <f t="shared" si="40"/>
        <v>1.388888888888884E-3</v>
      </c>
      <c r="M420" s="24">
        <v>0</v>
      </c>
      <c r="N420" s="8">
        <v>0</v>
      </c>
      <c r="O420" s="24">
        <f t="shared" si="38"/>
        <v>1.388888888888884E-3</v>
      </c>
      <c r="P420" s="22">
        <v>0</v>
      </c>
      <c r="Q420" s="25" t="s">
        <v>45</v>
      </c>
      <c r="R420" s="22" t="str">
        <f>IF(COUNTIF(fest!$A$1:$A$18,B420)&gt;0,"FESTIVO", IF(OR(WEEKDAY(B420,2)=6,WEEKDAY(B420,2)=7),"NO HÁBIL","HÁBIL"))</f>
        <v>HÁBIL</v>
      </c>
    </row>
    <row r="421" spans="1:18" ht="15.75" customHeight="1" x14ac:dyDescent="0.2">
      <c r="A421" s="22" t="s">
        <v>44</v>
      </c>
      <c r="B421" s="23">
        <v>46218</v>
      </c>
      <c r="C421" s="22" t="s">
        <v>16</v>
      </c>
      <c r="D421" s="22" t="s">
        <v>17</v>
      </c>
      <c r="E421" s="22" t="s">
        <v>14</v>
      </c>
      <c r="F421" s="22" t="s">
        <v>13</v>
      </c>
      <c r="G421" s="24">
        <v>0.76388888888888884</v>
      </c>
      <c r="H421" s="24">
        <f t="shared" si="34"/>
        <v>0.27083333333333331</v>
      </c>
      <c r="I421" s="8">
        <f t="shared" si="35"/>
        <v>-0.49305555555555552</v>
      </c>
      <c r="J421" s="24">
        <v>0.74583333333333335</v>
      </c>
      <c r="K421" s="24">
        <v>0.76180555555555551</v>
      </c>
      <c r="L421" s="24">
        <f t="shared" si="40"/>
        <v>1.5972222222222165E-2</v>
      </c>
      <c r="M421" s="24">
        <f>+K421+N421</f>
        <v>0.76180555555555551</v>
      </c>
      <c r="N421" s="8">
        <v>0</v>
      </c>
      <c r="O421" s="24">
        <f t="shared" si="38"/>
        <v>1.5972222222222165E-2</v>
      </c>
      <c r="P421" s="22">
        <v>0</v>
      </c>
      <c r="Q421" s="25" t="s">
        <v>45</v>
      </c>
      <c r="R421" s="22" t="str">
        <f>IF(COUNTIF(fest!$A$1:$A$18,B421)&gt;0,"FESTIVO", IF(OR(WEEKDAY(B421,2)=6,WEEKDAY(B421,2)=7),"NO HÁBIL","HÁBIL"))</f>
        <v>HÁBIL</v>
      </c>
    </row>
    <row r="422" spans="1:18" ht="15.75" customHeight="1" x14ac:dyDescent="0.2">
      <c r="A422" s="22" t="s">
        <v>43</v>
      </c>
      <c r="B422" s="23">
        <v>46219</v>
      </c>
      <c r="C422" s="22" t="s">
        <v>11</v>
      </c>
      <c r="D422" s="22" t="s">
        <v>12</v>
      </c>
      <c r="E422" s="22" t="s">
        <v>13</v>
      </c>
      <c r="F422" s="22" t="s">
        <v>14</v>
      </c>
      <c r="G422" s="24">
        <v>0.27083333333333331</v>
      </c>
      <c r="H422" s="24">
        <f t="shared" si="34"/>
        <v>0.29166666666666669</v>
      </c>
      <c r="I422" s="8">
        <f t="shared" si="35"/>
        <v>2.083333333333337E-2</v>
      </c>
      <c r="J422" s="24">
        <v>0.27500000000000002</v>
      </c>
      <c r="K422" s="24">
        <v>0.28194444444444444</v>
      </c>
      <c r="L422" s="24">
        <f t="shared" si="40"/>
        <v>6.9444444444444198E-3</v>
      </c>
      <c r="M422" s="24">
        <v>0.29166666666666669</v>
      </c>
      <c r="N422" s="8">
        <f>+M422-K422</f>
        <v>9.7222222222222432E-3</v>
      </c>
      <c r="O422" s="24">
        <f t="shared" si="38"/>
        <v>1.6666666666666663E-2</v>
      </c>
      <c r="P422" s="22">
        <v>0</v>
      </c>
      <c r="Q422" s="25" t="s">
        <v>51</v>
      </c>
      <c r="R422" s="22" t="str">
        <f>IF(COUNTIF(fest!$A$1:$A$18,B422)&gt;0,"FESTIVO", IF(OR(WEEKDAY(B422,2)=6,WEEKDAY(B422,2)=7),"NO HÁBIL","HÁBIL"))</f>
        <v>HÁBIL</v>
      </c>
    </row>
    <row r="423" spans="1:18" ht="15.75" customHeight="1" x14ac:dyDescent="0.2">
      <c r="A423" s="22" t="s">
        <v>43</v>
      </c>
      <c r="B423" s="23">
        <v>46219</v>
      </c>
      <c r="C423" s="22" t="s">
        <v>15</v>
      </c>
      <c r="D423" s="22" t="s">
        <v>12</v>
      </c>
      <c r="E423" s="22" t="s">
        <v>13</v>
      </c>
      <c r="F423" s="22" t="s">
        <v>14</v>
      </c>
      <c r="G423" s="24">
        <v>0.29166666666666669</v>
      </c>
      <c r="H423" s="24">
        <f t="shared" si="34"/>
        <v>0.3125</v>
      </c>
      <c r="I423" s="8">
        <f t="shared" si="35"/>
        <v>2.0833333333333315E-2</v>
      </c>
      <c r="J423" s="24">
        <v>0.29166666666666669</v>
      </c>
      <c r="K423" s="24">
        <v>0.30208333333333331</v>
      </c>
      <c r="L423" s="24">
        <f t="shared" si="40"/>
        <v>1.041666666666663E-2</v>
      </c>
      <c r="M423" s="24">
        <v>0.31944444444444442</v>
      </c>
      <c r="N423" s="8">
        <f>+M423-K423</f>
        <v>1.7361111111111105E-2</v>
      </c>
      <c r="O423" s="24">
        <f t="shared" si="38"/>
        <v>2.7777777777777735E-2</v>
      </c>
      <c r="P423" s="22">
        <v>5</v>
      </c>
      <c r="Q423" s="25" t="s">
        <v>51</v>
      </c>
      <c r="R423" s="22" t="str">
        <f>IF(COUNTIF(fest!$A$1:$A$18,B423)&gt;0,"FESTIVO", IF(OR(WEEKDAY(B423,2)=6,WEEKDAY(B423,2)=7),"NO HÁBIL","HÁBIL"))</f>
        <v>HÁBIL</v>
      </c>
    </row>
    <row r="424" spans="1:18" ht="15.75" customHeight="1" x14ac:dyDescent="0.2">
      <c r="A424" s="22" t="s">
        <v>43</v>
      </c>
      <c r="B424" s="23">
        <v>46219</v>
      </c>
      <c r="C424" s="22" t="s">
        <v>16</v>
      </c>
      <c r="D424" s="22" t="s">
        <v>12</v>
      </c>
      <c r="E424" s="22" t="s">
        <v>13</v>
      </c>
      <c r="F424" s="22" t="s">
        <v>14</v>
      </c>
      <c r="G424" s="24">
        <v>0.3125</v>
      </c>
      <c r="H424" s="24">
        <f t="shared" si="34"/>
        <v>0.71527777777777779</v>
      </c>
      <c r="I424" s="8">
        <f t="shared" si="35"/>
        <v>0.40277777777777779</v>
      </c>
      <c r="J424" s="24">
        <v>0.31944444444444442</v>
      </c>
      <c r="K424" s="24">
        <v>0.32361111111111113</v>
      </c>
      <c r="L424" s="24">
        <f t="shared" si="40"/>
        <v>4.1666666666667074E-3</v>
      </c>
      <c r="M424" s="24">
        <f>+K424+N424</f>
        <v>0.3371527777777778</v>
      </c>
      <c r="N424" s="8">
        <f>AVERAGE(N422:N423)</f>
        <v>1.3541666666666674E-2</v>
      </c>
      <c r="O424" s="24">
        <f t="shared" si="38"/>
        <v>1.7708333333333381E-2</v>
      </c>
      <c r="P424" s="22">
        <v>0</v>
      </c>
      <c r="Q424" s="25" t="s">
        <v>51</v>
      </c>
      <c r="R424" s="22" t="str">
        <f>IF(COUNTIF(fest!$A$1:$A$18,B424)&gt;0,"FESTIVO", IF(OR(WEEKDAY(B424,2)=6,WEEKDAY(B424,2)=7),"NO HÁBIL","HÁBIL"))</f>
        <v>HÁBIL</v>
      </c>
    </row>
    <row r="425" spans="1:18" ht="15.75" customHeight="1" x14ac:dyDescent="0.2">
      <c r="A425" s="22" t="s">
        <v>44</v>
      </c>
      <c r="B425" s="23">
        <v>46219</v>
      </c>
      <c r="C425" s="22" t="s">
        <v>11</v>
      </c>
      <c r="D425" s="22" t="s">
        <v>17</v>
      </c>
      <c r="E425" s="22" t="s">
        <v>14</v>
      </c>
      <c r="F425" s="22" t="s">
        <v>13</v>
      </c>
      <c r="G425" s="24">
        <v>0.71527777777777779</v>
      </c>
      <c r="H425" s="24">
        <f t="shared" si="34"/>
        <v>0.73958333333333337</v>
      </c>
      <c r="I425" s="8">
        <f t="shared" si="35"/>
        <v>2.430555555555558E-2</v>
      </c>
      <c r="J425" s="24">
        <v>0.70902777777777781</v>
      </c>
      <c r="K425" s="24">
        <v>0.71875</v>
      </c>
      <c r="L425" s="24">
        <f t="shared" si="40"/>
        <v>9.7222222222221877E-3</v>
      </c>
      <c r="M425" s="24">
        <v>0.74513888888888891</v>
      </c>
      <c r="N425" s="8">
        <f>+M425-K425</f>
        <v>2.6388888888888906E-2</v>
      </c>
      <c r="O425" s="24">
        <f t="shared" si="38"/>
        <v>3.6111111111111094E-2</v>
      </c>
      <c r="P425" s="22">
        <v>8</v>
      </c>
      <c r="Q425" s="25" t="s">
        <v>48</v>
      </c>
      <c r="R425" s="22" t="str">
        <f>IF(COUNTIF(fest!$A$1:$A$18,B425)&gt;0,"FESTIVO", IF(OR(WEEKDAY(B425,2)=6,WEEKDAY(B425,2)=7),"NO HÁBIL","HÁBIL"))</f>
        <v>HÁBIL</v>
      </c>
    </row>
    <row r="426" spans="1:18" ht="15.75" customHeight="1" x14ac:dyDescent="0.2">
      <c r="A426" s="22" t="s">
        <v>44</v>
      </c>
      <c r="B426" s="23">
        <v>46219</v>
      </c>
      <c r="C426" s="22" t="s">
        <v>15</v>
      </c>
      <c r="D426" s="22" t="s">
        <v>17</v>
      </c>
      <c r="E426" s="22" t="s">
        <v>14</v>
      </c>
      <c r="F426" s="22" t="s">
        <v>13</v>
      </c>
      <c r="G426" s="24">
        <v>0.73958333333333337</v>
      </c>
      <c r="H426" s="24">
        <f t="shared" si="34"/>
        <v>0.76388888888888884</v>
      </c>
      <c r="I426" s="8">
        <f t="shared" si="35"/>
        <v>2.4305555555555469E-2</v>
      </c>
      <c r="J426" s="24">
        <v>0</v>
      </c>
      <c r="K426" s="24">
        <v>0</v>
      </c>
      <c r="L426" s="24">
        <f t="shared" si="40"/>
        <v>0</v>
      </c>
      <c r="M426" s="24">
        <v>0</v>
      </c>
      <c r="N426" s="8">
        <f>+M426-K426</f>
        <v>0</v>
      </c>
      <c r="O426" s="24">
        <f t="shared" si="38"/>
        <v>0</v>
      </c>
      <c r="P426" s="22">
        <v>0</v>
      </c>
      <c r="Q426" s="25" t="s">
        <v>46</v>
      </c>
      <c r="R426" s="22" t="str">
        <f>IF(COUNTIF(fest!$A$1:$A$18,B426)&gt;0,"FESTIVO", IF(OR(WEEKDAY(B426,2)=6,WEEKDAY(B426,2)=7),"NO HÁBIL","HÁBIL"))</f>
        <v>HÁBIL</v>
      </c>
    </row>
    <row r="427" spans="1:18" ht="15.75" customHeight="1" x14ac:dyDescent="0.2">
      <c r="A427" s="22" t="s">
        <v>44</v>
      </c>
      <c r="B427" s="23">
        <v>46219</v>
      </c>
      <c r="C427" s="22" t="s">
        <v>16</v>
      </c>
      <c r="D427" s="22" t="s">
        <v>17</v>
      </c>
      <c r="E427" s="22" t="s">
        <v>14</v>
      </c>
      <c r="F427" s="22" t="s">
        <v>13</v>
      </c>
      <c r="G427" s="24">
        <v>0.76388888888888884</v>
      </c>
      <c r="H427" s="24">
        <f t="shared" si="34"/>
        <v>0.27083333333333331</v>
      </c>
      <c r="I427" s="8">
        <f t="shared" si="35"/>
        <v>-0.49305555555555552</v>
      </c>
      <c r="J427" s="24">
        <v>0.74513888888888891</v>
      </c>
      <c r="K427" s="24">
        <v>0.7583333333333333</v>
      </c>
      <c r="L427" s="24">
        <f t="shared" si="40"/>
        <v>1.3194444444444398E-2</v>
      </c>
      <c r="M427" s="24">
        <f>+K427+N427</f>
        <v>0.77152777777777781</v>
      </c>
      <c r="N427" s="8">
        <f>AVERAGE(N425:N426)</f>
        <v>1.3194444444444453E-2</v>
      </c>
      <c r="O427" s="24">
        <f t="shared" si="38"/>
        <v>2.6388888888888851E-2</v>
      </c>
      <c r="P427" s="22">
        <v>7</v>
      </c>
      <c r="Q427" s="25" t="s">
        <v>49</v>
      </c>
      <c r="R427" s="22" t="str">
        <f>IF(COUNTIF(fest!$A$1:$A$18,B427)&gt;0,"FESTIVO", IF(OR(WEEKDAY(B427,2)=6,WEEKDAY(B427,2)=7),"NO HÁBIL","HÁBIL"))</f>
        <v>HÁBIL</v>
      </c>
    </row>
    <row r="428" spans="1:18" ht="15.75" customHeight="1" x14ac:dyDescent="0.2">
      <c r="A428" s="22" t="s">
        <v>43</v>
      </c>
      <c r="B428" s="23">
        <v>46220</v>
      </c>
      <c r="C428" s="22" t="s">
        <v>11</v>
      </c>
      <c r="D428" s="22" t="s">
        <v>12</v>
      </c>
      <c r="E428" s="22" t="s">
        <v>13</v>
      </c>
      <c r="F428" s="22" t="s">
        <v>14</v>
      </c>
      <c r="G428" s="24">
        <v>0.27083333333333331</v>
      </c>
      <c r="H428" s="24">
        <f t="shared" si="34"/>
        <v>0.29166666666666669</v>
      </c>
      <c r="I428" s="8">
        <f t="shared" si="35"/>
        <v>2.083333333333337E-2</v>
      </c>
      <c r="J428" s="24">
        <v>0.27500000000000002</v>
      </c>
      <c r="K428" s="24">
        <v>0.28125</v>
      </c>
      <c r="L428" s="24">
        <f t="shared" si="40"/>
        <v>6.2499999999999778E-3</v>
      </c>
      <c r="M428" s="24">
        <v>0.29722222222222222</v>
      </c>
      <c r="N428" s="8">
        <f>+M428-K428</f>
        <v>1.5972222222222221E-2</v>
      </c>
      <c r="O428" s="24">
        <f t="shared" si="38"/>
        <v>2.2222222222222199E-2</v>
      </c>
      <c r="P428" s="22">
        <v>2</v>
      </c>
      <c r="Q428" s="25" t="s">
        <v>51</v>
      </c>
      <c r="R428" s="22" t="str">
        <f>IF(COUNTIF(fest!$A$1:$A$18,B428)&gt;0,"FESTIVO", IF(OR(WEEKDAY(B428,2)=6,WEEKDAY(B428,2)=7),"NO HÁBIL","HÁBIL"))</f>
        <v>HÁBIL</v>
      </c>
    </row>
    <row r="429" spans="1:18" ht="15.75" customHeight="1" x14ac:dyDescent="0.2">
      <c r="A429" s="22" t="s">
        <v>43</v>
      </c>
      <c r="B429" s="23">
        <v>46220</v>
      </c>
      <c r="C429" s="22" t="s">
        <v>15</v>
      </c>
      <c r="D429" s="22" t="s">
        <v>12</v>
      </c>
      <c r="E429" s="22" t="s">
        <v>13</v>
      </c>
      <c r="F429" s="22" t="s">
        <v>14</v>
      </c>
      <c r="G429" s="24">
        <v>0.29166666666666669</v>
      </c>
      <c r="H429" s="24">
        <f t="shared" si="34"/>
        <v>0.3125</v>
      </c>
      <c r="I429" s="8">
        <f t="shared" si="35"/>
        <v>2.0833333333333315E-2</v>
      </c>
      <c r="J429" s="24">
        <v>0.29722222222222222</v>
      </c>
      <c r="K429" s="24">
        <v>0.30208333333333331</v>
      </c>
      <c r="L429" s="24">
        <f t="shared" si="40"/>
        <v>4.8611111111110938E-3</v>
      </c>
      <c r="M429" s="24">
        <v>0.31874999999999998</v>
      </c>
      <c r="N429" s="8">
        <f>+M429-K429</f>
        <v>1.6666666666666663E-2</v>
      </c>
      <c r="O429" s="24">
        <f t="shared" si="38"/>
        <v>2.1527777777777757E-2</v>
      </c>
      <c r="P429" s="22">
        <v>4</v>
      </c>
      <c r="Q429" s="25" t="s">
        <v>51</v>
      </c>
      <c r="R429" s="22" t="str">
        <f>IF(COUNTIF(fest!$A$1:$A$18,B429)&gt;0,"FESTIVO", IF(OR(WEEKDAY(B429,2)=6,WEEKDAY(B429,2)=7),"NO HÁBIL","HÁBIL"))</f>
        <v>HÁBIL</v>
      </c>
    </row>
    <row r="430" spans="1:18" ht="15.75" customHeight="1" x14ac:dyDescent="0.2">
      <c r="A430" s="22" t="s">
        <v>43</v>
      </c>
      <c r="B430" s="23">
        <v>46220</v>
      </c>
      <c r="C430" s="22" t="s">
        <v>16</v>
      </c>
      <c r="D430" s="22" t="s">
        <v>12</v>
      </c>
      <c r="E430" s="22" t="s">
        <v>13</v>
      </c>
      <c r="F430" s="22" t="s">
        <v>14</v>
      </c>
      <c r="G430" s="24">
        <v>0.3125</v>
      </c>
      <c r="H430" s="24">
        <f t="shared" si="34"/>
        <v>0.71527777777777779</v>
      </c>
      <c r="I430" s="8">
        <f t="shared" si="35"/>
        <v>0.40277777777777779</v>
      </c>
      <c r="J430" s="24">
        <v>0.31874999999999998</v>
      </c>
      <c r="K430" s="24">
        <v>0.32291666666666669</v>
      </c>
      <c r="L430" s="24">
        <f t="shared" si="40"/>
        <v>4.1666666666667074E-3</v>
      </c>
      <c r="M430" s="24">
        <v>0.32847222222222222</v>
      </c>
      <c r="N430" s="8">
        <f>AVERAGE(N428:N429)</f>
        <v>1.6319444444444442E-2</v>
      </c>
      <c r="O430" s="24">
        <f t="shared" si="38"/>
        <v>2.0486111111111149E-2</v>
      </c>
      <c r="P430" s="22">
        <v>1</v>
      </c>
      <c r="Q430" s="25" t="s">
        <v>51</v>
      </c>
      <c r="R430" s="22" t="str">
        <f>IF(COUNTIF(fest!$A$1:$A$18,B430)&gt;0,"FESTIVO", IF(OR(WEEKDAY(B430,2)=6,WEEKDAY(B430,2)=7),"NO HÁBIL","HÁBIL"))</f>
        <v>HÁBIL</v>
      </c>
    </row>
    <row r="431" spans="1:18" ht="15.75" customHeight="1" x14ac:dyDescent="0.2">
      <c r="A431" s="22" t="s">
        <v>44</v>
      </c>
      <c r="B431" s="23">
        <v>46220</v>
      </c>
      <c r="C431" s="22" t="s">
        <v>11</v>
      </c>
      <c r="D431" s="22" t="s">
        <v>17</v>
      </c>
      <c r="E431" s="22" t="s">
        <v>14</v>
      </c>
      <c r="F431" s="22" t="s">
        <v>13</v>
      </c>
      <c r="G431" s="24">
        <v>0.71527777777777779</v>
      </c>
      <c r="H431" s="24">
        <f t="shared" si="34"/>
        <v>0.73958333333333337</v>
      </c>
      <c r="I431" s="8">
        <f t="shared" si="35"/>
        <v>2.430555555555558E-2</v>
      </c>
      <c r="J431" s="24">
        <v>0.65555555555555556</v>
      </c>
      <c r="K431" s="24">
        <v>0.67638888888888893</v>
      </c>
      <c r="L431" s="24">
        <f t="shared" si="40"/>
        <v>2.083333333333337E-2</v>
      </c>
      <c r="M431" s="24">
        <v>0.69166666666666665</v>
      </c>
      <c r="N431" s="8">
        <f>+M431-K431</f>
        <v>1.5277777777777724E-2</v>
      </c>
      <c r="O431" s="24">
        <f t="shared" si="38"/>
        <v>3.6111111111111094E-2</v>
      </c>
      <c r="P431" s="22">
        <v>3</v>
      </c>
      <c r="Q431" s="25" t="s">
        <v>49</v>
      </c>
      <c r="R431" s="22" t="str">
        <f>IF(COUNTIF(fest!$A$1:$A$18,B431)&gt;0,"FESTIVO", IF(OR(WEEKDAY(B431,2)=6,WEEKDAY(B431,2)=7),"NO HÁBIL","HÁBIL"))</f>
        <v>HÁBIL</v>
      </c>
    </row>
    <row r="432" spans="1:18" ht="15.75" customHeight="1" x14ac:dyDescent="0.2">
      <c r="A432" s="22" t="s">
        <v>44</v>
      </c>
      <c r="B432" s="23">
        <v>46220</v>
      </c>
      <c r="C432" s="22" t="s">
        <v>15</v>
      </c>
      <c r="D432" s="22" t="s">
        <v>17</v>
      </c>
      <c r="E432" s="22" t="s">
        <v>14</v>
      </c>
      <c r="F432" s="22" t="s">
        <v>13</v>
      </c>
      <c r="G432" s="24">
        <v>0.73958333333333337</v>
      </c>
      <c r="H432" s="24">
        <f t="shared" si="34"/>
        <v>0.76388888888888884</v>
      </c>
      <c r="I432" s="8">
        <f t="shared" si="35"/>
        <v>2.4305555555555469E-2</v>
      </c>
      <c r="J432" s="24">
        <v>0.69166666666666665</v>
      </c>
      <c r="K432" s="24">
        <v>0.69930555555555551</v>
      </c>
      <c r="L432" s="24">
        <f t="shared" si="40"/>
        <v>7.6388888888888618E-3</v>
      </c>
      <c r="M432" s="24">
        <v>0.72152777777777777</v>
      </c>
      <c r="N432" s="8">
        <f>+M432-K432</f>
        <v>2.2222222222222254E-2</v>
      </c>
      <c r="O432" s="24">
        <f t="shared" si="38"/>
        <v>2.9861111111111116E-2</v>
      </c>
      <c r="P432" s="22">
        <v>3</v>
      </c>
      <c r="Q432" s="25" t="s">
        <v>47</v>
      </c>
      <c r="R432" s="22" t="str">
        <f>IF(COUNTIF(fest!$A$1:$A$18,B432)&gt;0,"FESTIVO", IF(OR(WEEKDAY(B432,2)=6,WEEKDAY(B432,2)=7),"NO HÁBIL","HÁBIL"))</f>
        <v>HÁBIL</v>
      </c>
    </row>
    <row r="433" spans="1:19" ht="15.75" customHeight="1" x14ac:dyDescent="0.2">
      <c r="A433" s="22" t="s">
        <v>44</v>
      </c>
      <c r="B433" s="23">
        <v>46220</v>
      </c>
      <c r="C433" s="22" t="s">
        <v>16</v>
      </c>
      <c r="D433" s="22" t="s">
        <v>17</v>
      </c>
      <c r="E433" s="22" t="s">
        <v>14</v>
      </c>
      <c r="F433" s="22" t="s">
        <v>13</v>
      </c>
      <c r="G433" s="24">
        <v>0.76388888888888884</v>
      </c>
      <c r="H433" s="24">
        <f t="shared" si="34"/>
        <v>0.27083333333333331</v>
      </c>
      <c r="I433" s="8">
        <f t="shared" si="35"/>
        <v>-0.49305555555555552</v>
      </c>
      <c r="J433" s="24">
        <v>0.72152777777777777</v>
      </c>
      <c r="K433" s="24">
        <v>0.72499999999999998</v>
      </c>
      <c r="L433" s="24">
        <f t="shared" si="40"/>
        <v>3.4722222222222099E-3</v>
      </c>
      <c r="M433" s="24">
        <v>0.73055555555555551</v>
      </c>
      <c r="N433" s="8">
        <f>AVERAGE(N431:N432)</f>
        <v>1.8749999999999989E-2</v>
      </c>
      <c r="O433" s="24">
        <f t="shared" si="38"/>
        <v>2.2222222222222199E-2</v>
      </c>
      <c r="P433" s="22">
        <v>3</v>
      </c>
      <c r="Q433" s="25" t="s">
        <v>49</v>
      </c>
      <c r="R433" s="22" t="str">
        <f>IF(COUNTIF(fest!$A$1:$A$18,B433)&gt;0,"FESTIVO", IF(OR(WEEKDAY(B433,2)=6,WEEKDAY(B433,2)=7),"NO HÁBIL","HÁBIL"))</f>
        <v>HÁBIL</v>
      </c>
    </row>
    <row r="434" spans="1:19" ht="15.75" customHeight="1" x14ac:dyDescent="0.2">
      <c r="A434" s="22" t="s">
        <v>43</v>
      </c>
      <c r="B434" s="23">
        <v>46224</v>
      </c>
      <c r="C434" s="22" t="s">
        <v>11</v>
      </c>
      <c r="D434" s="22" t="s">
        <v>12</v>
      </c>
      <c r="E434" s="22" t="s">
        <v>13</v>
      </c>
      <c r="F434" s="22" t="s">
        <v>14</v>
      </c>
      <c r="G434" s="24">
        <v>0.27083333333333331</v>
      </c>
      <c r="H434" s="24">
        <f t="shared" si="34"/>
        <v>0.29166666666666669</v>
      </c>
      <c r="I434" s="8">
        <f t="shared" si="35"/>
        <v>2.083333333333337E-2</v>
      </c>
      <c r="J434" s="24">
        <v>0.27708333333333335</v>
      </c>
      <c r="K434" s="24">
        <v>0.28125</v>
      </c>
      <c r="L434" s="24">
        <f t="shared" si="40"/>
        <v>4.1666666666666519E-3</v>
      </c>
      <c r="M434" s="24">
        <v>0.29444444444444445</v>
      </c>
      <c r="N434" s="8">
        <f>+M434-K434</f>
        <v>1.3194444444444453E-2</v>
      </c>
      <c r="O434" s="24">
        <f t="shared" si="38"/>
        <v>1.7361111111111105E-2</v>
      </c>
      <c r="P434" s="22">
        <v>3</v>
      </c>
      <c r="Q434" s="25" t="s">
        <v>51</v>
      </c>
      <c r="R434" s="22" t="str">
        <f>IF(COUNTIF(fest!$A$1:$A$18,B434)&gt;0,"FESTIVO", IF(OR(WEEKDAY(B434,2)=6,WEEKDAY(B434,2)=7),"NO HÁBIL","HÁBIL"))</f>
        <v>HÁBIL</v>
      </c>
    </row>
    <row r="435" spans="1:19" ht="15.75" customHeight="1" x14ac:dyDescent="0.2">
      <c r="A435" s="22" t="s">
        <v>43</v>
      </c>
      <c r="B435" s="23">
        <v>46224</v>
      </c>
      <c r="C435" s="22" t="s">
        <v>15</v>
      </c>
      <c r="D435" s="22" t="s">
        <v>12</v>
      </c>
      <c r="E435" s="22" t="s">
        <v>13</v>
      </c>
      <c r="F435" s="22" t="s">
        <v>14</v>
      </c>
      <c r="G435" s="24">
        <v>0.29166666666666669</v>
      </c>
      <c r="H435" s="24">
        <f t="shared" si="34"/>
        <v>0.3125</v>
      </c>
      <c r="I435" s="8">
        <f t="shared" si="35"/>
        <v>2.0833333333333315E-2</v>
      </c>
      <c r="J435" s="24">
        <v>0.29444444444444445</v>
      </c>
      <c r="K435" s="24">
        <v>0.30277777777777776</v>
      </c>
      <c r="L435" s="24">
        <f t="shared" si="40"/>
        <v>8.3333333333333037E-3</v>
      </c>
      <c r="M435" s="24">
        <v>0.31736111111111109</v>
      </c>
      <c r="N435" s="8">
        <f>+M435-K435</f>
        <v>1.4583333333333337E-2</v>
      </c>
      <c r="O435" s="24">
        <f t="shared" si="38"/>
        <v>2.2916666666666641E-2</v>
      </c>
      <c r="P435" s="22">
        <v>5</v>
      </c>
      <c r="Q435" s="25" t="s">
        <v>51</v>
      </c>
      <c r="R435" s="22" t="str">
        <f>IF(COUNTIF(fest!$A$1:$A$18,B435)&gt;0,"FESTIVO", IF(OR(WEEKDAY(B435,2)=6,WEEKDAY(B435,2)=7),"NO HÁBIL","HÁBIL"))</f>
        <v>HÁBIL</v>
      </c>
    </row>
    <row r="436" spans="1:19" ht="15.75" customHeight="1" x14ac:dyDescent="0.2">
      <c r="A436" s="22" t="s">
        <v>43</v>
      </c>
      <c r="B436" s="23">
        <v>46224</v>
      </c>
      <c r="C436" s="22" t="s">
        <v>16</v>
      </c>
      <c r="D436" s="22" t="s">
        <v>12</v>
      </c>
      <c r="E436" s="22" t="s">
        <v>13</v>
      </c>
      <c r="F436" s="22" t="s">
        <v>14</v>
      </c>
      <c r="G436" s="24">
        <v>0.3125</v>
      </c>
      <c r="H436" s="24">
        <f t="shared" si="34"/>
        <v>0.71527777777777779</v>
      </c>
      <c r="I436" s="8">
        <f t="shared" si="35"/>
        <v>0.40277777777777779</v>
      </c>
      <c r="J436" s="24">
        <v>0</v>
      </c>
      <c r="K436" s="24">
        <v>0</v>
      </c>
      <c r="L436" s="24">
        <f t="shared" si="40"/>
        <v>0</v>
      </c>
      <c r="M436" s="24">
        <v>0</v>
      </c>
      <c r="N436" s="8">
        <f>+M436-K436</f>
        <v>0</v>
      </c>
      <c r="O436" s="24">
        <f t="shared" si="38"/>
        <v>0</v>
      </c>
      <c r="P436" s="22">
        <v>0</v>
      </c>
      <c r="Q436" s="25" t="s">
        <v>46</v>
      </c>
      <c r="R436" s="22" t="str">
        <f>IF(COUNTIF(fest!$A$1:$A$18,B436)&gt;0,"FESTIVO", IF(OR(WEEKDAY(B436,2)=6,WEEKDAY(B436,2)=7),"NO HÁBIL","HÁBIL"))</f>
        <v>HÁBIL</v>
      </c>
    </row>
    <row r="437" spans="1:19" ht="15.75" customHeight="1" x14ac:dyDescent="0.2">
      <c r="A437" s="22" t="s">
        <v>44</v>
      </c>
      <c r="B437" s="23">
        <v>46224</v>
      </c>
      <c r="C437" s="22" t="s">
        <v>11</v>
      </c>
      <c r="D437" s="22" t="s">
        <v>17</v>
      </c>
      <c r="E437" s="22" t="s">
        <v>14</v>
      </c>
      <c r="F437" s="22" t="s">
        <v>13</v>
      </c>
      <c r="G437" s="24">
        <v>0.71527777777777779</v>
      </c>
      <c r="H437" s="24">
        <f t="shared" si="34"/>
        <v>0.73958333333333337</v>
      </c>
      <c r="I437" s="8">
        <f t="shared" si="35"/>
        <v>2.430555555555558E-2</v>
      </c>
      <c r="J437" s="24">
        <v>0.70833333333333337</v>
      </c>
      <c r="K437" s="24">
        <v>0.71527777777777779</v>
      </c>
      <c r="L437" s="24">
        <f t="shared" si="40"/>
        <v>6.9444444444444198E-3</v>
      </c>
      <c r="M437" s="24">
        <v>0.74791666666666667</v>
      </c>
      <c r="N437" s="8">
        <f>+M437-K437</f>
        <v>3.2638888888888884E-2</v>
      </c>
      <c r="O437" s="24">
        <f t="shared" si="38"/>
        <v>3.9583333333333304E-2</v>
      </c>
      <c r="P437" s="22">
        <v>8</v>
      </c>
      <c r="Q437" s="25" t="s">
        <v>52</v>
      </c>
      <c r="R437" s="22" t="str">
        <f>IF(COUNTIF(fest!$A$1:$A$18,B437)&gt;0,"FESTIVO", IF(OR(WEEKDAY(B437,2)=6,WEEKDAY(B437,2)=7),"NO HÁBIL","HÁBIL"))</f>
        <v>HÁBIL</v>
      </c>
      <c r="S437" s="12" t="s">
        <v>53</v>
      </c>
    </row>
    <row r="438" spans="1:19" ht="15.75" customHeight="1" x14ac:dyDescent="0.2">
      <c r="A438" s="22" t="s">
        <v>44</v>
      </c>
      <c r="B438" s="23">
        <v>46224</v>
      </c>
      <c r="C438" s="22" t="s">
        <v>15</v>
      </c>
      <c r="D438" s="22" t="s">
        <v>17</v>
      </c>
      <c r="E438" s="22" t="s">
        <v>14</v>
      </c>
      <c r="F438" s="22" t="s">
        <v>13</v>
      </c>
      <c r="G438" s="24">
        <v>0.73958333333333337</v>
      </c>
      <c r="H438" s="24">
        <f t="shared" si="34"/>
        <v>0.76388888888888884</v>
      </c>
      <c r="I438" s="8">
        <f t="shared" si="35"/>
        <v>2.4305555555555469E-2</v>
      </c>
      <c r="J438" s="24">
        <v>0</v>
      </c>
      <c r="K438" s="24">
        <v>0</v>
      </c>
      <c r="L438" s="24">
        <f t="shared" si="40"/>
        <v>0</v>
      </c>
      <c r="M438" s="24">
        <v>0</v>
      </c>
      <c r="N438" s="8">
        <f>+M438-K438</f>
        <v>0</v>
      </c>
      <c r="O438" s="24">
        <f t="shared" si="38"/>
        <v>0</v>
      </c>
      <c r="P438" s="22">
        <v>0</v>
      </c>
      <c r="Q438" s="25" t="s">
        <v>46</v>
      </c>
      <c r="R438" s="22" t="str">
        <f>IF(COUNTIF(fest!$A$1:$A$18,B438)&gt;0,"FESTIVO", IF(OR(WEEKDAY(B438,2)=6,WEEKDAY(B438,2)=7),"NO HÁBIL","HÁBIL"))</f>
        <v>HÁBIL</v>
      </c>
    </row>
    <row r="439" spans="1:19" ht="15.75" customHeight="1" x14ac:dyDescent="0.2">
      <c r="A439" s="22" t="s">
        <v>44</v>
      </c>
      <c r="B439" s="23">
        <v>46224</v>
      </c>
      <c r="C439" s="22" t="s">
        <v>16</v>
      </c>
      <c r="D439" s="22" t="s">
        <v>17</v>
      </c>
      <c r="E439" s="22" t="s">
        <v>14</v>
      </c>
      <c r="F439" s="22" t="s">
        <v>13</v>
      </c>
      <c r="G439" s="24">
        <v>0.76388888888888884</v>
      </c>
      <c r="H439" s="24">
        <f t="shared" si="34"/>
        <v>0.27083333333333331</v>
      </c>
      <c r="I439" s="8">
        <f t="shared" si="35"/>
        <v>-0.49305555555555552</v>
      </c>
      <c r="J439" s="24">
        <v>0.74791666666666667</v>
      </c>
      <c r="K439" s="24">
        <v>0.75763888888888886</v>
      </c>
      <c r="L439" s="24">
        <f>+K439-J439</f>
        <v>9.7222222222221877E-3</v>
      </c>
      <c r="M439" s="24">
        <v>0.7729166666666667</v>
      </c>
      <c r="N439" s="8">
        <f>AVERAGE(N437:N438)</f>
        <v>1.6319444444444442E-2</v>
      </c>
      <c r="O439" s="24">
        <f t="shared" si="38"/>
        <v>2.604166666666663E-2</v>
      </c>
      <c r="P439" s="22">
        <v>6</v>
      </c>
      <c r="Q439" s="25" t="s">
        <v>54</v>
      </c>
      <c r="R439" s="22" t="str">
        <f>IF(COUNTIF(fest!$A$1:$A$18,B439)&gt;0,"FESTIVO", IF(OR(WEEKDAY(B439,2)=6,WEEKDAY(B439,2)=7),"NO HÁBIL","HÁBIL"))</f>
        <v>HÁBIL</v>
      </c>
    </row>
    <row r="440" spans="1:19" ht="15.75" customHeight="1" x14ac:dyDescent="0.2">
      <c r="A440" s="22" t="s">
        <v>43</v>
      </c>
      <c r="B440" s="23">
        <v>46225</v>
      </c>
      <c r="C440" s="22" t="s">
        <v>11</v>
      </c>
      <c r="D440" s="22" t="s">
        <v>12</v>
      </c>
      <c r="E440" s="22" t="s">
        <v>13</v>
      </c>
      <c r="F440" s="22" t="s">
        <v>14</v>
      </c>
      <c r="G440" s="24">
        <v>0.27083333333333331</v>
      </c>
      <c r="H440" s="24">
        <f t="shared" si="34"/>
        <v>0.29166666666666669</v>
      </c>
      <c r="I440" s="8">
        <f t="shared" si="35"/>
        <v>2.083333333333337E-2</v>
      </c>
      <c r="J440" s="24">
        <v>0.27847222222222223</v>
      </c>
      <c r="K440" s="24">
        <v>0.28125</v>
      </c>
      <c r="L440" s="24">
        <f t="shared" si="40"/>
        <v>2.7777777777777679E-3</v>
      </c>
      <c r="M440" s="24">
        <v>0.2986111111111111</v>
      </c>
      <c r="N440" s="8">
        <f>+M440-K440</f>
        <v>1.7361111111111105E-2</v>
      </c>
      <c r="O440" s="24">
        <f t="shared" ref="O438:O469" si="41">+L440+N440</f>
        <v>2.0138888888888873E-2</v>
      </c>
      <c r="P440" s="22">
        <v>5</v>
      </c>
      <c r="Q440" s="25" t="s">
        <v>51</v>
      </c>
      <c r="R440" s="22" t="str">
        <f>IF(COUNTIF(fest!$A$1:$A$18,B440)&gt;0,"FESTIVO", IF(OR(WEEKDAY(B440,2)=6,WEEKDAY(B440,2)=7),"NO HÁBIL","HÁBIL"))</f>
        <v>HÁBIL</v>
      </c>
    </row>
    <row r="441" spans="1:19" ht="15.75" customHeight="1" x14ac:dyDescent="0.2">
      <c r="A441" s="22" t="s">
        <v>43</v>
      </c>
      <c r="B441" s="23">
        <v>46225</v>
      </c>
      <c r="C441" s="22" t="s">
        <v>15</v>
      </c>
      <c r="D441" s="22" t="s">
        <v>12</v>
      </c>
      <c r="E441" s="22" t="s">
        <v>13</v>
      </c>
      <c r="F441" s="22" t="s">
        <v>14</v>
      </c>
      <c r="G441" s="24">
        <v>0.29166666666666669</v>
      </c>
      <c r="H441" s="24">
        <f t="shared" si="34"/>
        <v>0.3125</v>
      </c>
      <c r="I441" s="8">
        <f t="shared" si="35"/>
        <v>2.0833333333333315E-2</v>
      </c>
      <c r="J441" s="24">
        <v>0.2986111111111111</v>
      </c>
      <c r="K441" s="24">
        <v>0.30277777777777776</v>
      </c>
      <c r="L441" s="24">
        <f t="shared" si="40"/>
        <v>4.1666666666666519E-3</v>
      </c>
      <c r="M441" s="24">
        <v>0.31805555555555554</v>
      </c>
      <c r="N441" s="8">
        <f>+M441-K441</f>
        <v>1.5277777777777779E-2</v>
      </c>
      <c r="O441" s="24">
        <f t="shared" si="41"/>
        <v>1.9444444444444431E-2</v>
      </c>
      <c r="P441" s="22">
        <v>2</v>
      </c>
      <c r="Q441" s="25" t="s">
        <v>51</v>
      </c>
      <c r="R441" s="22" t="str">
        <f>IF(COUNTIF(fest!$A$1:$A$18,B441)&gt;0,"FESTIVO", IF(OR(WEEKDAY(B441,2)=6,WEEKDAY(B441,2)=7),"NO HÁBIL","HÁBIL"))</f>
        <v>HÁBIL</v>
      </c>
    </row>
    <row r="442" spans="1:19" ht="15.75" customHeight="1" x14ac:dyDescent="0.2">
      <c r="A442" s="22" t="s">
        <v>43</v>
      </c>
      <c r="B442" s="23">
        <v>46225</v>
      </c>
      <c r="C442" s="22" t="s">
        <v>16</v>
      </c>
      <c r="D442" s="22" t="s">
        <v>12</v>
      </c>
      <c r="E442" s="22" t="s">
        <v>13</v>
      </c>
      <c r="F442" s="22" t="s">
        <v>14</v>
      </c>
      <c r="G442" s="24">
        <v>0.3125</v>
      </c>
      <c r="H442" s="24">
        <f t="shared" si="34"/>
        <v>0.71527777777777779</v>
      </c>
      <c r="I442" s="8">
        <f t="shared" si="35"/>
        <v>0.40277777777777779</v>
      </c>
      <c r="J442" s="24">
        <v>0.31805555555555554</v>
      </c>
      <c r="K442" s="24">
        <v>0.32291666666666669</v>
      </c>
      <c r="L442" s="24">
        <f t="shared" si="40"/>
        <v>4.8611111111111494E-3</v>
      </c>
      <c r="M442" s="24">
        <v>0.3298611111111111</v>
      </c>
      <c r="N442" s="8">
        <f>AVERAGE(N440:N441)</f>
        <v>1.6319444444444442E-2</v>
      </c>
      <c r="O442" s="24">
        <f t="shared" si="41"/>
        <v>2.1180555555555591E-2</v>
      </c>
      <c r="P442" s="22">
        <v>2</v>
      </c>
      <c r="Q442" s="25" t="s">
        <v>51</v>
      </c>
      <c r="R442" s="22" t="str">
        <f>IF(COUNTIF(fest!$A$1:$A$18,B442)&gt;0,"FESTIVO", IF(OR(WEEKDAY(B442,2)=6,WEEKDAY(B442,2)=7),"NO HÁBIL","HÁBIL"))</f>
        <v>HÁBIL</v>
      </c>
    </row>
    <row r="443" spans="1:19" ht="15.75" customHeight="1" x14ac:dyDescent="0.2">
      <c r="A443" s="22" t="s">
        <v>44</v>
      </c>
      <c r="B443" s="23">
        <v>46225</v>
      </c>
      <c r="C443" s="22" t="s">
        <v>11</v>
      </c>
      <c r="D443" s="22" t="s">
        <v>17</v>
      </c>
      <c r="E443" s="22" t="s">
        <v>14</v>
      </c>
      <c r="F443" s="22" t="s">
        <v>13</v>
      </c>
      <c r="G443" s="24">
        <v>0.71527777777777779</v>
      </c>
      <c r="H443" s="24">
        <f t="shared" si="34"/>
        <v>0.73958333333333337</v>
      </c>
      <c r="I443" s="8">
        <f t="shared" si="35"/>
        <v>2.430555555555558E-2</v>
      </c>
      <c r="J443" s="24">
        <v>0.7104166666666667</v>
      </c>
      <c r="K443" s="24">
        <v>0.71666666666666667</v>
      </c>
      <c r="L443" s="24">
        <f t="shared" si="40"/>
        <v>6.2499999999999778E-3</v>
      </c>
      <c r="M443" s="24">
        <v>0.74305555555555558</v>
      </c>
      <c r="N443" s="8">
        <f>+M443-K443</f>
        <v>2.6388888888888906E-2</v>
      </c>
      <c r="O443" s="24">
        <f t="shared" si="41"/>
        <v>3.2638888888888884E-2</v>
      </c>
      <c r="P443" s="22">
        <v>5</v>
      </c>
      <c r="Q443" s="25" t="s">
        <v>48</v>
      </c>
      <c r="R443" s="22" t="str">
        <f>IF(COUNTIF(fest!$A$1:$A$18,B443)&gt;0,"FESTIVO", IF(OR(WEEKDAY(B443,2)=6,WEEKDAY(B443,2)=7),"NO HÁBIL","HÁBIL"))</f>
        <v>HÁBIL</v>
      </c>
    </row>
    <row r="444" spans="1:19" ht="15.75" customHeight="1" x14ac:dyDescent="0.2">
      <c r="A444" s="22" t="s">
        <v>44</v>
      </c>
      <c r="B444" s="23">
        <v>46225</v>
      </c>
      <c r="C444" s="22" t="s">
        <v>15</v>
      </c>
      <c r="D444" s="22" t="s">
        <v>17</v>
      </c>
      <c r="E444" s="22" t="s">
        <v>14</v>
      </c>
      <c r="F444" s="22" t="s">
        <v>13</v>
      </c>
      <c r="G444" s="24">
        <v>0.73958333333333337</v>
      </c>
      <c r="H444" s="24">
        <f t="shared" si="34"/>
        <v>0.76388888888888884</v>
      </c>
      <c r="I444" s="8">
        <f t="shared" si="35"/>
        <v>2.4305555555555469E-2</v>
      </c>
      <c r="J444" s="24">
        <v>0.74305555555555558</v>
      </c>
      <c r="K444" s="24">
        <v>0.74652777777777779</v>
      </c>
      <c r="L444" s="24">
        <f t="shared" si="40"/>
        <v>3.4722222222222099E-3</v>
      </c>
      <c r="M444" s="24">
        <v>0.76736111111111116</v>
      </c>
      <c r="N444" s="8">
        <f>+M444-K444</f>
        <v>2.083333333333337E-2</v>
      </c>
      <c r="O444" s="24">
        <f t="shared" si="41"/>
        <v>2.430555555555558E-2</v>
      </c>
      <c r="P444" s="22">
        <v>2</v>
      </c>
      <c r="Q444" s="25" t="s">
        <v>49</v>
      </c>
      <c r="R444" s="22" t="str">
        <f>IF(COUNTIF(fest!$A$1:$A$18,B444)&gt;0,"FESTIVO", IF(OR(WEEKDAY(B444,2)=6,WEEKDAY(B444,2)=7),"NO HÁBIL","HÁBIL"))</f>
        <v>HÁBIL</v>
      </c>
    </row>
    <row r="445" spans="1:19" ht="15.75" customHeight="1" x14ac:dyDescent="0.2">
      <c r="A445" s="22" t="s">
        <v>44</v>
      </c>
      <c r="B445" s="23">
        <v>46225</v>
      </c>
      <c r="C445" s="22" t="s">
        <v>16</v>
      </c>
      <c r="D445" s="22" t="s">
        <v>17</v>
      </c>
      <c r="E445" s="22" t="s">
        <v>14</v>
      </c>
      <c r="F445" s="22" t="s">
        <v>13</v>
      </c>
      <c r="G445" s="24">
        <v>0.76388888888888884</v>
      </c>
      <c r="H445" s="24">
        <f t="shared" si="34"/>
        <v>0.27083333333333331</v>
      </c>
      <c r="I445" s="8">
        <f t="shared" si="35"/>
        <v>-0.49305555555555552</v>
      </c>
      <c r="J445" s="24">
        <v>0.76736111111111116</v>
      </c>
      <c r="K445" s="24">
        <v>0.76736111111111116</v>
      </c>
      <c r="L445" s="24">
        <f t="shared" si="40"/>
        <v>0</v>
      </c>
      <c r="M445" s="24">
        <v>0.77638888888888891</v>
      </c>
      <c r="N445" s="8">
        <f>AVERAGE(N443:N444)</f>
        <v>2.3611111111111138E-2</v>
      </c>
      <c r="O445" s="24">
        <f t="shared" si="41"/>
        <v>2.3611111111111138E-2</v>
      </c>
      <c r="P445" s="22">
        <v>5</v>
      </c>
      <c r="Q445" s="25" t="s">
        <v>49</v>
      </c>
      <c r="R445" s="22" t="str">
        <f>IF(COUNTIF(fest!$A$1:$A$18,B445)&gt;0,"FESTIVO", IF(OR(WEEKDAY(B445,2)=6,WEEKDAY(B445,2)=7),"NO HÁBIL","HÁBIL"))</f>
        <v>HÁBIL</v>
      </c>
    </row>
    <row r="446" spans="1:19" ht="15.75" customHeight="1" x14ac:dyDescent="0.2">
      <c r="A446" s="22" t="s">
        <v>43</v>
      </c>
      <c r="B446" s="23">
        <v>46226</v>
      </c>
      <c r="C446" s="22" t="s">
        <v>11</v>
      </c>
      <c r="D446" s="22" t="s">
        <v>12</v>
      </c>
      <c r="E446" s="22" t="s">
        <v>13</v>
      </c>
      <c r="F446" s="22" t="s">
        <v>14</v>
      </c>
      <c r="G446" s="24">
        <v>0.27083333333333331</v>
      </c>
      <c r="H446" s="24">
        <f t="shared" si="34"/>
        <v>0.29166666666666669</v>
      </c>
      <c r="I446" s="8">
        <f t="shared" si="35"/>
        <v>2.083333333333337E-2</v>
      </c>
      <c r="J446" s="24">
        <v>0.27500000000000002</v>
      </c>
      <c r="K446" s="24">
        <v>0.28194444444444444</v>
      </c>
      <c r="L446" s="24">
        <f t="shared" si="40"/>
        <v>6.9444444444444198E-3</v>
      </c>
      <c r="M446" s="24">
        <v>0.30069444444444443</v>
      </c>
      <c r="N446" s="8">
        <f>+M446-K446</f>
        <v>1.8749999999999989E-2</v>
      </c>
      <c r="O446" s="24">
        <f t="shared" si="41"/>
        <v>2.5694444444444409E-2</v>
      </c>
      <c r="P446" s="22">
        <v>2</v>
      </c>
      <c r="Q446" s="25" t="s">
        <v>51</v>
      </c>
      <c r="R446" s="22" t="str">
        <f>IF(COUNTIF(fest!$A$1:$A$18,B446)&gt;0,"FESTIVO", IF(OR(WEEKDAY(B446,2)=6,WEEKDAY(B446,2)=7),"NO HÁBIL","HÁBIL"))</f>
        <v>HÁBIL</v>
      </c>
    </row>
    <row r="447" spans="1:19" ht="15.75" customHeight="1" x14ac:dyDescent="0.2">
      <c r="A447" s="22" t="s">
        <v>43</v>
      </c>
      <c r="B447" s="23">
        <v>46226</v>
      </c>
      <c r="C447" s="22" t="s">
        <v>15</v>
      </c>
      <c r="D447" s="22" t="s">
        <v>12</v>
      </c>
      <c r="E447" s="22" t="s">
        <v>13</v>
      </c>
      <c r="F447" s="22" t="s">
        <v>14</v>
      </c>
      <c r="G447" s="24">
        <v>0.29166666666666669</v>
      </c>
      <c r="H447" s="24">
        <f t="shared" si="34"/>
        <v>0.3125</v>
      </c>
      <c r="I447" s="8">
        <f t="shared" si="35"/>
        <v>2.0833333333333315E-2</v>
      </c>
      <c r="J447" s="24">
        <v>0.30069444444444443</v>
      </c>
      <c r="K447" s="24">
        <v>0.3034722222222222</v>
      </c>
      <c r="L447" s="24">
        <f t="shared" ref="L447:L478" si="42">+K447-J447</f>
        <v>2.7777777777777679E-3</v>
      </c>
      <c r="M447" s="24">
        <v>0.32013888888888886</v>
      </c>
      <c r="N447" s="8">
        <f>+M447-K447</f>
        <v>1.6666666666666663E-2</v>
      </c>
      <c r="O447" s="24">
        <f t="shared" si="41"/>
        <v>1.9444444444444431E-2</v>
      </c>
      <c r="P447" s="22">
        <v>6</v>
      </c>
      <c r="Q447" s="25" t="s">
        <v>51</v>
      </c>
      <c r="R447" s="22" t="str">
        <f>IF(COUNTIF(fest!$A$1:$A$18,B447)&gt;0,"FESTIVO", IF(OR(WEEKDAY(B447,2)=6,WEEKDAY(B447,2)=7),"NO HÁBIL","HÁBIL"))</f>
        <v>HÁBIL</v>
      </c>
    </row>
    <row r="448" spans="1:19" ht="15.75" customHeight="1" x14ac:dyDescent="0.2">
      <c r="A448" s="22" t="s">
        <v>43</v>
      </c>
      <c r="B448" s="23">
        <v>46226</v>
      </c>
      <c r="C448" s="22" t="s">
        <v>16</v>
      </c>
      <c r="D448" s="22" t="s">
        <v>12</v>
      </c>
      <c r="E448" s="22" t="s">
        <v>13</v>
      </c>
      <c r="F448" s="22" t="s">
        <v>14</v>
      </c>
      <c r="G448" s="24">
        <v>0.3125</v>
      </c>
      <c r="H448" s="24">
        <f t="shared" si="34"/>
        <v>0.71527777777777779</v>
      </c>
      <c r="I448" s="8">
        <f t="shared" si="35"/>
        <v>0.40277777777777779</v>
      </c>
      <c r="J448" s="24">
        <v>0.32013888888888886</v>
      </c>
      <c r="K448" s="24">
        <v>0.32291666666666669</v>
      </c>
      <c r="L448" s="24">
        <f t="shared" si="42"/>
        <v>2.7777777777778234E-3</v>
      </c>
      <c r="M448" s="24">
        <v>0.33124999999999999</v>
      </c>
      <c r="N448" s="8">
        <f>AVERAGE(N446:N447)</f>
        <v>1.7708333333333326E-2</v>
      </c>
      <c r="O448" s="24">
        <f t="shared" si="41"/>
        <v>2.0486111111111149E-2</v>
      </c>
      <c r="P448" s="22">
        <v>3</v>
      </c>
      <c r="Q448" s="25" t="s">
        <v>51</v>
      </c>
      <c r="R448" s="22" t="str">
        <f>IF(COUNTIF(fest!$A$1:$A$18,B448)&gt;0,"FESTIVO", IF(OR(WEEKDAY(B448,2)=6,WEEKDAY(B448,2)=7),"NO HÁBIL","HÁBIL"))</f>
        <v>HÁBIL</v>
      </c>
    </row>
    <row r="449" spans="1:18" ht="15.75" customHeight="1" x14ac:dyDescent="0.2">
      <c r="A449" s="22" t="s">
        <v>44</v>
      </c>
      <c r="B449" s="23">
        <v>46226</v>
      </c>
      <c r="C449" s="22" t="s">
        <v>11</v>
      </c>
      <c r="D449" s="22" t="s">
        <v>17</v>
      </c>
      <c r="E449" s="22" t="s">
        <v>14</v>
      </c>
      <c r="F449" s="22" t="s">
        <v>13</v>
      </c>
      <c r="G449" s="24">
        <v>0.71527777777777779</v>
      </c>
      <c r="H449" s="24">
        <f t="shared" si="34"/>
        <v>0.73958333333333337</v>
      </c>
      <c r="I449" s="8">
        <f t="shared" si="35"/>
        <v>2.430555555555558E-2</v>
      </c>
      <c r="J449" s="24">
        <v>0.7104166666666667</v>
      </c>
      <c r="K449" s="24">
        <v>0.71597222222222223</v>
      </c>
      <c r="L449" s="24">
        <f t="shared" si="42"/>
        <v>5.5555555555555358E-3</v>
      </c>
      <c r="M449" s="24">
        <v>0.75138888888888888</v>
      </c>
      <c r="N449" s="8">
        <f>+M449-K449</f>
        <v>3.5416666666666652E-2</v>
      </c>
      <c r="O449" s="24">
        <f t="shared" si="41"/>
        <v>4.0972222222222188E-2</v>
      </c>
      <c r="P449" s="22">
        <v>7</v>
      </c>
      <c r="Q449" s="25" t="s">
        <v>48</v>
      </c>
      <c r="R449" s="22" t="str">
        <f>IF(COUNTIF(fest!$A$1:$A$18,B449)&gt;0,"FESTIVO", IF(OR(WEEKDAY(B449,2)=6,WEEKDAY(B449,2)=7),"NO HÁBIL","HÁBIL"))</f>
        <v>HÁBIL</v>
      </c>
    </row>
    <row r="450" spans="1:18" ht="15.75" customHeight="1" x14ac:dyDescent="0.2">
      <c r="A450" s="22" t="s">
        <v>44</v>
      </c>
      <c r="B450" s="23">
        <v>46226</v>
      </c>
      <c r="C450" s="22" t="s">
        <v>15</v>
      </c>
      <c r="D450" s="22" t="s">
        <v>17</v>
      </c>
      <c r="E450" s="22" t="s">
        <v>14</v>
      </c>
      <c r="F450" s="22" t="s">
        <v>13</v>
      </c>
      <c r="G450" s="24">
        <v>0.73958333333333337</v>
      </c>
      <c r="H450" s="24">
        <f t="shared" si="34"/>
        <v>0.76388888888888884</v>
      </c>
      <c r="I450" s="8">
        <f t="shared" si="35"/>
        <v>2.4305555555555469E-2</v>
      </c>
      <c r="J450" s="24">
        <v>0</v>
      </c>
      <c r="K450" s="24">
        <v>0</v>
      </c>
      <c r="L450" s="24">
        <f t="shared" si="42"/>
        <v>0</v>
      </c>
      <c r="M450" s="24">
        <v>0</v>
      </c>
      <c r="N450" s="8">
        <f>+M450-K450</f>
        <v>0</v>
      </c>
      <c r="O450" s="24">
        <f t="shared" si="41"/>
        <v>0</v>
      </c>
      <c r="P450" s="22">
        <v>0</v>
      </c>
      <c r="Q450" s="25" t="s">
        <v>46</v>
      </c>
      <c r="R450" s="22" t="str">
        <f>IF(COUNTIF(fest!$A$1:$A$18,B450)&gt;0,"FESTIVO", IF(OR(WEEKDAY(B450,2)=6,WEEKDAY(B450,2)=7),"NO HÁBIL","HÁBIL"))</f>
        <v>HÁBIL</v>
      </c>
    </row>
    <row r="451" spans="1:18" ht="15.75" customHeight="1" x14ac:dyDescent="0.2">
      <c r="A451" s="22" t="s">
        <v>44</v>
      </c>
      <c r="B451" s="23">
        <v>46226</v>
      </c>
      <c r="C451" s="22" t="s">
        <v>16</v>
      </c>
      <c r="D451" s="22" t="s">
        <v>17</v>
      </c>
      <c r="E451" s="22" t="s">
        <v>14</v>
      </c>
      <c r="F451" s="22" t="s">
        <v>13</v>
      </c>
      <c r="G451" s="24">
        <v>0.76388888888888884</v>
      </c>
      <c r="H451" s="24">
        <f t="shared" ref="H451:H486" si="43">+G451+I451</f>
        <v>0.27083333333333331</v>
      </c>
      <c r="I451" s="8">
        <f t="shared" ref="I451:I486" si="44">+G452-G451</f>
        <v>-0.49305555555555552</v>
      </c>
      <c r="J451" s="24">
        <v>0.75138888888888888</v>
      </c>
      <c r="K451" s="24">
        <v>0.76458333333333328</v>
      </c>
      <c r="L451" s="24">
        <f t="shared" ref="L451" si="45">+K451-J451</f>
        <v>1.3194444444444398E-2</v>
      </c>
      <c r="M451" s="24">
        <v>0.78402777777777777</v>
      </c>
      <c r="N451" s="8">
        <f>AVERAGE(N449:N450)</f>
        <v>1.7708333333333326E-2</v>
      </c>
      <c r="O451" s="24">
        <f t="shared" si="41"/>
        <v>3.0902777777777724E-2</v>
      </c>
      <c r="P451" s="22">
        <v>5</v>
      </c>
      <c r="Q451" s="25" t="s">
        <v>54</v>
      </c>
      <c r="R451" s="22" t="str">
        <f>IF(COUNTIF(fest!$A$1:$A$18,B451)&gt;0,"FESTIVO", IF(OR(WEEKDAY(B451,2)=6,WEEKDAY(B451,2)=7),"NO HÁBIL","HÁBIL"))</f>
        <v>HÁBIL</v>
      </c>
    </row>
    <row r="452" spans="1:18" ht="15.75" customHeight="1" x14ac:dyDescent="0.2">
      <c r="A452" s="22" t="s">
        <v>43</v>
      </c>
      <c r="B452" s="23">
        <v>46227</v>
      </c>
      <c r="C452" s="22" t="s">
        <v>11</v>
      </c>
      <c r="D452" s="22" t="s">
        <v>12</v>
      </c>
      <c r="E452" s="22" t="s">
        <v>13</v>
      </c>
      <c r="F452" s="22" t="s">
        <v>14</v>
      </c>
      <c r="G452" s="24">
        <v>0.27083333333333331</v>
      </c>
      <c r="H452" s="24">
        <f t="shared" si="43"/>
        <v>0.29166666666666669</v>
      </c>
      <c r="I452" s="8">
        <f t="shared" si="44"/>
        <v>2.083333333333337E-2</v>
      </c>
      <c r="J452" s="24">
        <v>0.27430555555555558</v>
      </c>
      <c r="K452" s="24">
        <v>0.28194444444444444</v>
      </c>
      <c r="L452" s="24">
        <f t="shared" si="42"/>
        <v>7.6388888888888618E-3</v>
      </c>
      <c r="M452" s="24">
        <v>0.29722222222222222</v>
      </c>
      <c r="N452" s="8">
        <f>+M452-K452</f>
        <v>1.5277777777777779E-2</v>
      </c>
      <c r="O452" s="24">
        <f t="shared" si="41"/>
        <v>2.2916666666666641E-2</v>
      </c>
      <c r="P452" s="22">
        <v>2</v>
      </c>
      <c r="Q452" s="25" t="s">
        <v>51</v>
      </c>
      <c r="R452" s="22" t="str">
        <f>IF(COUNTIF(fest!$A$1:$A$18,B452)&gt;0,"FESTIVO", IF(OR(WEEKDAY(B452,2)=6,WEEKDAY(B452,2)=7),"NO HÁBIL","HÁBIL"))</f>
        <v>HÁBIL</v>
      </c>
    </row>
    <row r="453" spans="1:18" ht="15.75" customHeight="1" x14ac:dyDescent="0.2">
      <c r="A453" s="22" t="s">
        <v>43</v>
      </c>
      <c r="B453" s="23">
        <v>46227</v>
      </c>
      <c r="C453" s="22" t="s">
        <v>15</v>
      </c>
      <c r="D453" s="22" t="s">
        <v>12</v>
      </c>
      <c r="E453" s="22" t="s">
        <v>13</v>
      </c>
      <c r="F453" s="22" t="s">
        <v>14</v>
      </c>
      <c r="G453" s="24">
        <v>0.29166666666666669</v>
      </c>
      <c r="H453" s="24">
        <f t="shared" si="43"/>
        <v>0.3125</v>
      </c>
      <c r="I453" s="8">
        <f t="shared" si="44"/>
        <v>2.0833333333333315E-2</v>
      </c>
      <c r="J453" s="24">
        <v>0.29722222222222222</v>
      </c>
      <c r="K453" s="24">
        <v>0.30208333333333331</v>
      </c>
      <c r="L453" s="24">
        <f t="shared" si="42"/>
        <v>4.8611111111110938E-3</v>
      </c>
      <c r="M453" s="24">
        <v>0.31874999999999998</v>
      </c>
      <c r="N453" s="8">
        <f>+M453-K453</f>
        <v>1.6666666666666663E-2</v>
      </c>
      <c r="O453" s="24">
        <f t="shared" si="41"/>
        <v>2.1527777777777757E-2</v>
      </c>
      <c r="P453" s="22">
        <v>4</v>
      </c>
      <c r="Q453" s="25" t="s">
        <v>51</v>
      </c>
      <c r="R453" s="22" t="str">
        <f>IF(COUNTIF(fest!$A$1:$A$18,B453)&gt;0,"FESTIVO", IF(OR(WEEKDAY(B453,2)=6,WEEKDAY(B453,2)=7),"NO HÁBIL","HÁBIL"))</f>
        <v>HÁBIL</v>
      </c>
    </row>
    <row r="454" spans="1:18" ht="15.75" customHeight="1" x14ac:dyDescent="0.2">
      <c r="A454" s="22" t="s">
        <v>43</v>
      </c>
      <c r="B454" s="23">
        <v>46227</v>
      </c>
      <c r="C454" s="22" t="s">
        <v>16</v>
      </c>
      <c r="D454" s="22" t="s">
        <v>12</v>
      </c>
      <c r="E454" s="22" t="s">
        <v>13</v>
      </c>
      <c r="F454" s="22" t="s">
        <v>14</v>
      </c>
      <c r="G454" s="24">
        <v>0.3125</v>
      </c>
      <c r="H454" s="24">
        <f t="shared" si="43"/>
        <v>0.71527777777777779</v>
      </c>
      <c r="I454" s="8">
        <f t="shared" si="44"/>
        <v>0.40277777777777779</v>
      </c>
      <c r="J454" s="24">
        <v>0.31874999999999998</v>
      </c>
      <c r="K454" s="24">
        <v>0.32291666666666669</v>
      </c>
      <c r="L454" s="24">
        <f t="shared" si="42"/>
        <v>4.1666666666667074E-3</v>
      </c>
      <c r="M454" s="24">
        <v>0.33124999999999999</v>
      </c>
      <c r="N454" s="8">
        <f>AVERAGE(N452:N453)</f>
        <v>1.5972222222222221E-2</v>
      </c>
      <c r="O454" s="24">
        <f t="shared" si="41"/>
        <v>2.0138888888888928E-2</v>
      </c>
      <c r="P454" s="22">
        <v>2</v>
      </c>
      <c r="Q454" s="25" t="s">
        <v>51</v>
      </c>
      <c r="R454" s="22" t="str">
        <f>IF(COUNTIF(fest!$A$1:$A$18,B454)&gt;0,"FESTIVO", IF(OR(WEEKDAY(B454,2)=6,WEEKDAY(B454,2)=7),"NO HÁBIL","HÁBIL"))</f>
        <v>HÁBIL</v>
      </c>
    </row>
    <row r="455" spans="1:18" ht="15.75" customHeight="1" x14ac:dyDescent="0.2">
      <c r="A455" s="22" t="s">
        <v>44</v>
      </c>
      <c r="B455" s="23">
        <v>46227</v>
      </c>
      <c r="C455" s="22" t="s">
        <v>11</v>
      </c>
      <c r="D455" s="22" t="s">
        <v>17</v>
      </c>
      <c r="E455" s="22" t="s">
        <v>14</v>
      </c>
      <c r="F455" s="22" t="s">
        <v>13</v>
      </c>
      <c r="G455" s="24">
        <v>0.71527777777777779</v>
      </c>
      <c r="H455" s="24">
        <f t="shared" si="43"/>
        <v>0.73958333333333337</v>
      </c>
      <c r="I455" s="8">
        <f t="shared" si="44"/>
        <v>2.430555555555558E-2</v>
      </c>
      <c r="J455" s="24">
        <v>0.65138888888888891</v>
      </c>
      <c r="K455" s="24">
        <v>0.67500000000000004</v>
      </c>
      <c r="L455" s="24">
        <f t="shared" si="42"/>
        <v>2.3611111111111138E-2</v>
      </c>
      <c r="M455" s="24">
        <v>0.67500000000000004</v>
      </c>
      <c r="N455" s="8">
        <f>+M455-K455</f>
        <v>0</v>
      </c>
      <c r="O455" s="24">
        <f t="shared" si="41"/>
        <v>2.3611111111111138E-2</v>
      </c>
      <c r="P455" s="22">
        <v>0</v>
      </c>
      <c r="Q455" s="25" t="s">
        <v>45</v>
      </c>
      <c r="R455" s="22" t="str">
        <f>IF(COUNTIF(fest!$A$1:$A$18,B455)&gt;0,"FESTIVO", IF(OR(WEEKDAY(B455,2)=6,WEEKDAY(B455,2)=7),"NO HÁBIL","HÁBIL"))</f>
        <v>HÁBIL</v>
      </c>
    </row>
    <row r="456" spans="1:18" ht="15.75" customHeight="1" x14ac:dyDescent="0.2">
      <c r="A456" s="22" t="s">
        <v>44</v>
      </c>
      <c r="B456" s="23">
        <v>46227</v>
      </c>
      <c r="C456" s="22" t="s">
        <v>15</v>
      </c>
      <c r="D456" s="22" t="s">
        <v>17</v>
      </c>
      <c r="E456" s="22" t="s">
        <v>14</v>
      </c>
      <c r="F456" s="22" t="s">
        <v>13</v>
      </c>
      <c r="G456" s="24">
        <v>0.73958333333333337</v>
      </c>
      <c r="H456" s="24">
        <f t="shared" si="43"/>
        <v>0.76388888888888884</v>
      </c>
      <c r="I456" s="8">
        <f t="shared" si="44"/>
        <v>2.4305555555555469E-2</v>
      </c>
      <c r="J456" s="24">
        <v>0.67500000000000004</v>
      </c>
      <c r="K456" s="24">
        <v>0.7</v>
      </c>
      <c r="L456" s="24">
        <f t="shared" si="42"/>
        <v>2.4999999999999911E-2</v>
      </c>
      <c r="M456" s="24">
        <v>0.72152777777777777</v>
      </c>
      <c r="N456" s="8">
        <f>+M456-K456</f>
        <v>2.1527777777777812E-2</v>
      </c>
      <c r="O456" s="24">
        <f t="shared" si="41"/>
        <v>4.6527777777777724E-2</v>
      </c>
      <c r="P456" s="22">
        <v>2</v>
      </c>
      <c r="Q456" s="25" t="s">
        <v>50</v>
      </c>
      <c r="R456" s="22" t="str">
        <f>IF(COUNTIF(fest!$A$1:$A$18,B456)&gt;0,"FESTIVO", IF(OR(WEEKDAY(B456,2)=6,WEEKDAY(B456,2)=7),"NO HÁBIL","HÁBIL"))</f>
        <v>HÁBIL</v>
      </c>
    </row>
    <row r="457" spans="1:18" ht="15.75" customHeight="1" x14ac:dyDescent="0.2">
      <c r="A457" s="22" t="s">
        <v>44</v>
      </c>
      <c r="B457" s="23">
        <v>46227</v>
      </c>
      <c r="C457" s="22" t="s">
        <v>16</v>
      </c>
      <c r="D457" s="22" t="s">
        <v>17</v>
      </c>
      <c r="E457" s="22" t="s">
        <v>14</v>
      </c>
      <c r="F457" s="22" t="s">
        <v>13</v>
      </c>
      <c r="G457" s="24">
        <v>0.76388888888888884</v>
      </c>
      <c r="H457" s="24">
        <f t="shared" si="43"/>
        <v>0.27083333333333331</v>
      </c>
      <c r="I457" s="8">
        <f t="shared" si="44"/>
        <v>-0.49305555555555552</v>
      </c>
      <c r="J457" s="24">
        <v>0.72152777777777777</v>
      </c>
      <c r="K457" s="24">
        <v>0.72569444444444442</v>
      </c>
      <c r="L457" s="24">
        <f t="shared" si="42"/>
        <v>4.1666666666666519E-3</v>
      </c>
      <c r="M457" s="24">
        <v>0.74027777777777781</v>
      </c>
      <c r="N457" s="8">
        <f>AVERAGE(N455:N456)</f>
        <v>1.0763888888888906E-2</v>
      </c>
      <c r="O457" s="24">
        <f t="shared" si="41"/>
        <v>1.4930555555555558E-2</v>
      </c>
      <c r="P457" s="22">
        <v>1</v>
      </c>
      <c r="Q457" s="25" t="s">
        <v>47</v>
      </c>
      <c r="R457" s="22" t="str">
        <f>IF(COUNTIF(fest!$A$1:$A$18,B457)&gt;0,"FESTIVO", IF(OR(WEEKDAY(B457,2)=6,WEEKDAY(B457,2)=7),"NO HÁBIL","HÁBIL"))</f>
        <v>HÁBIL</v>
      </c>
    </row>
    <row r="458" spans="1:18" ht="15.75" customHeight="1" x14ac:dyDescent="0.2">
      <c r="A458" s="22" t="s">
        <v>43</v>
      </c>
      <c r="B458" s="23">
        <v>46230</v>
      </c>
      <c r="C458" s="22" t="s">
        <v>11</v>
      </c>
      <c r="D458" s="22" t="s">
        <v>12</v>
      </c>
      <c r="E458" s="22" t="s">
        <v>13</v>
      </c>
      <c r="F458" s="22" t="s">
        <v>14</v>
      </c>
      <c r="G458" s="24">
        <v>0.27083333333333331</v>
      </c>
      <c r="H458" s="24">
        <f t="shared" si="43"/>
        <v>0.29166666666666669</v>
      </c>
      <c r="I458" s="8">
        <f t="shared" si="44"/>
        <v>2.083333333333337E-2</v>
      </c>
      <c r="J458" s="24"/>
      <c r="K458" s="24"/>
      <c r="L458" s="24"/>
      <c r="M458" s="24"/>
      <c r="N458" s="8"/>
      <c r="O458" s="24"/>
      <c r="P458" s="22"/>
      <c r="Q458" s="25"/>
      <c r="R458" s="22"/>
    </row>
    <row r="459" spans="1:18" ht="15.75" customHeight="1" x14ac:dyDescent="0.2">
      <c r="A459" s="22" t="s">
        <v>43</v>
      </c>
      <c r="B459" s="23">
        <v>46230</v>
      </c>
      <c r="C459" s="22" t="s">
        <v>15</v>
      </c>
      <c r="D459" s="22" t="s">
        <v>12</v>
      </c>
      <c r="E459" s="22" t="s">
        <v>13</v>
      </c>
      <c r="F459" s="22" t="s">
        <v>14</v>
      </c>
      <c r="G459" s="24">
        <v>0.29166666666666669</v>
      </c>
      <c r="H459" s="24">
        <f t="shared" si="43"/>
        <v>0.3125</v>
      </c>
      <c r="I459" s="8">
        <f t="shared" si="44"/>
        <v>2.0833333333333315E-2</v>
      </c>
      <c r="J459" s="24"/>
      <c r="K459" s="24"/>
      <c r="L459" s="24"/>
      <c r="M459" s="24"/>
      <c r="N459" s="8"/>
      <c r="O459" s="24"/>
      <c r="P459" s="22"/>
      <c r="Q459" s="25"/>
      <c r="R459" s="22"/>
    </row>
    <row r="460" spans="1:18" ht="15.75" customHeight="1" x14ac:dyDescent="0.2">
      <c r="A460" s="22" t="s">
        <v>43</v>
      </c>
      <c r="B460" s="23">
        <v>46230</v>
      </c>
      <c r="C460" s="22" t="s">
        <v>16</v>
      </c>
      <c r="D460" s="22" t="s">
        <v>12</v>
      </c>
      <c r="E460" s="22" t="s">
        <v>13</v>
      </c>
      <c r="F460" s="22" t="s">
        <v>14</v>
      </c>
      <c r="G460" s="24">
        <v>0.3125</v>
      </c>
      <c r="H460" s="24">
        <f t="shared" si="43"/>
        <v>0.71527777777777779</v>
      </c>
      <c r="I460" s="8">
        <f t="shared" si="44"/>
        <v>0.40277777777777779</v>
      </c>
      <c r="J460" s="24"/>
      <c r="K460" s="24"/>
      <c r="L460" s="24"/>
      <c r="M460" s="24"/>
      <c r="N460" s="8"/>
      <c r="O460" s="24"/>
      <c r="P460" s="22"/>
      <c r="Q460" s="25"/>
      <c r="R460" s="22"/>
    </row>
    <row r="461" spans="1:18" ht="15.75" customHeight="1" x14ac:dyDescent="0.2">
      <c r="A461" s="22" t="s">
        <v>44</v>
      </c>
      <c r="B461" s="23">
        <v>46230</v>
      </c>
      <c r="C461" s="22" t="s">
        <v>11</v>
      </c>
      <c r="D461" s="22" t="s">
        <v>17</v>
      </c>
      <c r="E461" s="22" t="s">
        <v>14</v>
      </c>
      <c r="F461" s="22" t="s">
        <v>13</v>
      </c>
      <c r="G461" s="24">
        <v>0.71527777777777779</v>
      </c>
      <c r="H461" s="24">
        <f t="shared" si="43"/>
        <v>0.73958333333333337</v>
      </c>
      <c r="I461" s="8">
        <f t="shared" si="44"/>
        <v>2.430555555555558E-2</v>
      </c>
      <c r="J461" s="24"/>
      <c r="K461" s="24"/>
      <c r="L461" s="24"/>
      <c r="M461" s="24"/>
      <c r="N461" s="8"/>
      <c r="O461" s="24"/>
      <c r="P461" s="22"/>
      <c r="Q461" s="25"/>
      <c r="R461" s="22"/>
    </row>
    <row r="462" spans="1:18" ht="15.75" customHeight="1" x14ac:dyDescent="0.2">
      <c r="A462" s="22" t="s">
        <v>44</v>
      </c>
      <c r="B462" s="23">
        <v>46230</v>
      </c>
      <c r="C462" s="22" t="s">
        <v>15</v>
      </c>
      <c r="D462" s="22" t="s">
        <v>17</v>
      </c>
      <c r="E462" s="22" t="s">
        <v>14</v>
      </c>
      <c r="F462" s="22" t="s">
        <v>13</v>
      </c>
      <c r="G462" s="24">
        <v>0.73958333333333337</v>
      </c>
      <c r="H462" s="24">
        <f t="shared" si="43"/>
        <v>0.76388888888888884</v>
      </c>
      <c r="I462" s="8">
        <f t="shared" si="44"/>
        <v>2.4305555555555469E-2</v>
      </c>
      <c r="J462" s="24"/>
      <c r="K462" s="24"/>
      <c r="L462" s="24"/>
      <c r="M462" s="24"/>
      <c r="N462" s="8"/>
      <c r="O462" s="24"/>
      <c r="P462" s="22"/>
      <c r="Q462" s="25"/>
      <c r="R462" s="22"/>
    </row>
    <row r="463" spans="1:18" ht="15.75" customHeight="1" x14ac:dyDescent="0.2">
      <c r="A463" s="22" t="s">
        <v>44</v>
      </c>
      <c r="B463" s="23">
        <v>46230</v>
      </c>
      <c r="C463" s="22" t="s">
        <v>16</v>
      </c>
      <c r="D463" s="22" t="s">
        <v>17</v>
      </c>
      <c r="E463" s="22" t="s">
        <v>14</v>
      </c>
      <c r="F463" s="22" t="s">
        <v>13</v>
      </c>
      <c r="G463" s="24">
        <v>0.76388888888888884</v>
      </c>
      <c r="H463" s="24">
        <f t="shared" si="43"/>
        <v>0.27083333333333331</v>
      </c>
      <c r="I463" s="8">
        <f t="shared" si="44"/>
        <v>-0.49305555555555552</v>
      </c>
      <c r="J463" s="24"/>
      <c r="K463" s="24"/>
      <c r="L463" s="24"/>
      <c r="M463" s="24"/>
      <c r="N463" s="8"/>
      <c r="O463" s="24"/>
      <c r="P463" s="22"/>
      <c r="Q463" s="25"/>
      <c r="R463" s="22"/>
    </row>
    <row r="464" spans="1:18" ht="15.75" customHeight="1" x14ac:dyDescent="0.2">
      <c r="A464" s="22" t="s">
        <v>43</v>
      </c>
      <c r="B464" s="23">
        <v>46231</v>
      </c>
      <c r="C464" s="22" t="s">
        <v>11</v>
      </c>
      <c r="D464" s="22" t="s">
        <v>12</v>
      </c>
      <c r="E464" s="22" t="s">
        <v>13</v>
      </c>
      <c r="F464" s="22" t="s">
        <v>14</v>
      </c>
      <c r="G464" s="24">
        <v>0.27083333333333331</v>
      </c>
      <c r="H464" s="24">
        <f t="shared" si="43"/>
        <v>0.29166666666666669</v>
      </c>
      <c r="I464" s="8">
        <f t="shared" si="44"/>
        <v>2.083333333333337E-2</v>
      </c>
      <c r="J464" s="24"/>
      <c r="K464" s="24"/>
      <c r="L464" s="24"/>
      <c r="M464" s="24"/>
      <c r="N464" s="8"/>
      <c r="O464" s="24"/>
      <c r="P464" s="22"/>
      <c r="Q464" s="25"/>
      <c r="R464" s="22"/>
    </row>
    <row r="465" spans="1:18" ht="15.75" customHeight="1" x14ac:dyDescent="0.2">
      <c r="A465" s="22" t="s">
        <v>43</v>
      </c>
      <c r="B465" s="23">
        <v>46231</v>
      </c>
      <c r="C465" s="22" t="s">
        <v>15</v>
      </c>
      <c r="D465" s="22" t="s">
        <v>12</v>
      </c>
      <c r="E465" s="22" t="s">
        <v>13</v>
      </c>
      <c r="F465" s="22" t="s">
        <v>14</v>
      </c>
      <c r="G465" s="24">
        <v>0.29166666666666669</v>
      </c>
      <c r="H465" s="24">
        <f t="shared" si="43"/>
        <v>0.3125</v>
      </c>
      <c r="I465" s="8">
        <f t="shared" si="44"/>
        <v>2.0833333333333315E-2</v>
      </c>
      <c r="J465" s="24"/>
      <c r="K465" s="24"/>
      <c r="L465" s="24"/>
      <c r="M465" s="24"/>
      <c r="N465" s="8"/>
      <c r="O465" s="24"/>
      <c r="P465" s="22"/>
      <c r="Q465" s="25"/>
      <c r="R465" s="22"/>
    </row>
    <row r="466" spans="1:18" ht="15.75" customHeight="1" x14ac:dyDescent="0.2">
      <c r="A466" s="22" t="s">
        <v>43</v>
      </c>
      <c r="B466" s="23">
        <v>46231</v>
      </c>
      <c r="C466" s="22" t="s">
        <v>16</v>
      </c>
      <c r="D466" s="22" t="s">
        <v>12</v>
      </c>
      <c r="E466" s="22" t="s">
        <v>13</v>
      </c>
      <c r="F466" s="22" t="s">
        <v>14</v>
      </c>
      <c r="G466" s="24">
        <v>0.3125</v>
      </c>
      <c r="H466" s="24">
        <f t="shared" si="43"/>
        <v>0.71527777777777779</v>
      </c>
      <c r="I466" s="8">
        <f t="shared" si="44"/>
        <v>0.40277777777777779</v>
      </c>
      <c r="J466" s="24"/>
      <c r="K466" s="24"/>
      <c r="L466" s="24"/>
      <c r="M466" s="24"/>
      <c r="N466" s="8"/>
      <c r="O466" s="24"/>
      <c r="P466" s="22"/>
      <c r="Q466" s="25"/>
      <c r="R466" s="22"/>
    </row>
    <row r="467" spans="1:18" ht="15.75" customHeight="1" x14ac:dyDescent="0.2">
      <c r="A467" s="22" t="s">
        <v>44</v>
      </c>
      <c r="B467" s="23">
        <v>46231</v>
      </c>
      <c r="C467" s="22" t="s">
        <v>11</v>
      </c>
      <c r="D467" s="22" t="s">
        <v>17</v>
      </c>
      <c r="E467" s="22" t="s">
        <v>14</v>
      </c>
      <c r="F467" s="22" t="s">
        <v>13</v>
      </c>
      <c r="G467" s="24">
        <v>0.71527777777777779</v>
      </c>
      <c r="H467" s="24">
        <f t="shared" si="43"/>
        <v>0.73958333333333337</v>
      </c>
      <c r="I467" s="8">
        <f t="shared" si="44"/>
        <v>2.430555555555558E-2</v>
      </c>
      <c r="J467" s="24"/>
      <c r="K467" s="24"/>
      <c r="L467" s="24"/>
      <c r="M467" s="24"/>
      <c r="N467" s="8"/>
      <c r="O467" s="24"/>
      <c r="P467" s="22"/>
      <c r="Q467" s="25"/>
      <c r="R467" s="22"/>
    </row>
    <row r="468" spans="1:18" ht="15.75" customHeight="1" x14ac:dyDescent="0.2">
      <c r="A468" s="22" t="s">
        <v>44</v>
      </c>
      <c r="B468" s="23">
        <v>46231</v>
      </c>
      <c r="C468" s="22" t="s">
        <v>15</v>
      </c>
      <c r="D468" s="22" t="s">
        <v>17</v>
      </c>
      <c r="E468" s="22" t="s">
        <v>14</v>
      </c>
      <c r="F468" s="22" t="s">
        <v>13</v>
      </c>
      <c r="G468" s="24">
        <v>0.73958333333333337</v>
      </c>
      <c r="H468" s="24">
        <f t="shared" si="43"/>
        <v>0.76388888888888884</v>
      </c>
      <c r="I468" s="8">
        <f t="shared" si="44"/>
        <v>2.4305555555555469E-2</v>
      </c>
      <c r="J468" s="24"/>
      <c r="K468" s="24"/>
      <c r="L468" s="24"/>
      <c r="M468" s="24"/>
      <c r="N468" s="8"/>
      <c r="O468" s="24"/>
      <c r="P468" s="22"/>
      <c r="Q468" s="25"/>
      <c r="R468" s="22"/>
    </row>
    <row r="469" spans="1:18" ht="15.75" customHeight="1" x14ac:dyDescent="0.2">
      <c r="A469" s="22" t="s">
        <v>44</v>
      </c>
      <c r="B469" s="23">
        <v>46231</v>
      </c>
      <c r="C469" s="22" t="s">
        <v>16</v>
      </c>
      <c r="D469" s="22" t="s">
        <v>17</v>
      </c>
      <c r="E469" s="22" t="s">
        <v>14</v>
      </c>
      <c r="F469" s="22" t="s">
        <v>13</v>
      </c>
      <c r="G469" s="24">
        <v>0.76388888888888884</v>
      </c>
      <c r="H469" s="24">
        <f t="shared" si="43"/>
        <v>0.27083333333333331</v>
      </c>
      <c r="I469" s="8">
        <f t="shared" si="44"/>
        <v>-0.49305555555555552</v>
      </c>
      <c r="J469" s="24"/>
      <c r="K469" s="24"/>
      <c r="L469" s="24"/>
      <c r="M469" s="24"/>
      <c r="N469" s="8"/>
      <c r="O469" s="24"/>
      <c r="P469" s="22"/>
      <c r="Q469" s="25"/>
      <c r="R469" s="22"/>
    </row>
    <row r="470" spans="1:18" ht="15.75" customHeight="1" x14ac:dyDescent="0.2">
      <c r="A470" s="22" t="s">
        <v>43</v>
      </c>
      <c r="B470" s="23">
        <v>46232</v>
      </c>
      <c r="C470" s="22" t="s">
        <v>11</v>
      </c>
      <c r="D470" s="22" t="s">
        <v>12</v>
      </c>
      <c r="E470" s="22" t="s">
        <v>13</v>
      </c>
      <c r="F470" s="22" t="s">
        <v>14</v>
      </c>
      <c r="G470" s="24">
        <v>0.27083333333333331</v>
      </c>
      <c r="H470" s="24">
        <f t="shared" si="43"/>
        <v>0.29166666666666669</v>
      </c>
      <c r="I470" s="8">
        <f t="shared" si="44"/>
        <v>2.083333333333337E-2</v>
      </c>
      <c r="J470" s="24"/>
      <c r="K470" s="24"/>
      <c r="L470" s="24"/>
      <c r="M470" s="24"/>
      <c r="N470" s="8"/>
      <c r="O470" s="24"/>
      <c r="P470" s="22"/>
      <c r="Q470" s="25"/>
      <c r="R470" s="22"/>
    </row>
    <row r="471" spans="1:18" ht="15.75" customHeight="1" x14ac:dyDescent="0.2">
      <c r="A471" s="22" t="s">
        <v>43</v>
      </c>
      <c r="B471" s="23">
        <v>46232</v>
      </c>
      <c r="C471" s="22" t="s">
        <v>15</v>
      </c>
      <c r="D471" s="22" t="s">
        <v>12</v>
      </c>
      <c r="E471" s="22" t="s">
        <v>13</v>
      </c>
      <c r="F471" s="22" t="s">
        <v>14</v>
      </c>
      <c r="G471" s="24">
        <v>0.29166666666666669</v>
      </c>
      <c r="H471" s="24">
        <f t="shared" si="43"/>
        <v>0.3125</v>
      </c>
      <c r="I471" s="8">
        <f t="shared" si="44"/>
        <v>2.0833333333333315E-2</v>
      </c>
      <c r="J471" s="24"/>
      <c r="K471" s="24"/>
      <c r="L471" s="24"/>
      <c r="M471" s="24"/>
      <c r="N471" s="8"/>
      <c r="O471" s="24"/>
      <c r="P471" s="22"/>
      <c r="Q471" s="25"/>
      <c r="R471" s="22"/>
    </row>
    <row r="472" spans="1:18" ht="15.75" customHeight="1" x14ac:dyDescent="0.2">
      <c r="A472" s="22" t="s">
        <v>43</v>
      </c>
      <c r="B472" s="23">
        <v>46232</v>
      </c>
      <c r="C472" s="22" t="s">
        <v>16</v>
      </c>
      <c r="D472" s="22" t="s">
        <v>12</v>
      </c>
      <c r="E472" s="22" t="s">
        <v>13</v>
      </c>
      <c r="F472" s="22" t="s">
        <v>14</v>
      </c>
      <c r="G472" s="24">
        <v>0.3125</v>
      </c>
      <c r="H472" s="24">
        <f t="shared" si="43"/>
        <v>0.71527777777777779</v>
      </c>
      <c r="I472" s="8">
        <f t="shared" si="44"/>
        <v>0.40277777777777779</v>
      </c>
      <c r="J472" s="24"/>
      <c r="K472" s="24"/>
      <c r="L472" s="24"/>
      <c r="M472" s="24"/>
      <c r="N472" s="8"/>
      <c r="O472" s="24"/>
      <c r="P472" s="22"/>
      <c r="Q472" s="25"/>
      <c r="R472" s="22"/>
    </row>
    <row r="473" spans="1:18" ht="15.75" customHeight="1" x14ac:dyDescent="0.2">
      <c r="A473" s="22" t="s">
        <v>44</v>
      </c>
      <c r="B473" s="23">
        <v>46232</v>
      </c>
      <c r="C473" s="22" t="s">
        <v>11</v>
      </c>
      <c r="D473" s="22" t="s">
        <v>17</v>
      </c>
      <c r="E473" s="22" t="s">
        <v>14</v>
      </c>
      <c r="F473" s="22" t="s">
        <v>13</v>
      </c>
      <c r="G473" s="24">
        <v>0.71527777777777779</v>
      </c>
      <c r="H473" s="24">
        <f t="shared" si="43"/>
        <v>0.73958333333333337</v>
      </c>
      <c r="I473" s="8">
        <f t="shared" si="44"/>
        <v>2.430555555555558E-2</v>
      </c>
      <c r="J473" s="24"/>
      <c r="K473" s="24"/>
      <c r="L473" s="24"/>
      <c r="M473" s="24"/>
      <c r="N473" s="8"/>
      <c r="O473" s="24"/>
      <c r="P473" s="22"/>
      <c r="Q473" s="25"/>
      <c r="R473" s="22"/>
    </row>
    <row r="474" spans="1:18" ht="15.75" customHeight="1" x14ac:dyDescent="0.2">
      <c r="A474" s="22" t="s">
        <v>44</v>
      </c>
      <c r="B474" s="23">
        <v>46232</v>
      </c>
      <c r="C474" s="22" t="s">
        <v>15</v>
      </c>
      <c r="D474" s="22" t="s">
        <v>17</v>
      </c>
      <c r="E474" s="22" t="s">
        <v>14</v>
      </c>
      <c r="F474" s="22" t="s">
        <v>13</v>
      </c>
      <c r="G474" s="24">
        <v>0.73958333333333337</v>
      </c>
      <c r="H474" s="24">
        <f t="shared" si="43"/>
        <v>0.76388888888888884</v>
      </c>
      <c r="I474" s="8">
        <f t="shared" si="44"/>
        <v>2.4305555555555469E-2</v>
      </c>
      <c r="J474" s="24"/>
      <c r="K474" s="24"/>
      <c r="L474" s="24"/>
      <c r="M474" s="24"/>
      <c r="N474" s="8"/>
      <c r="O474" s="24"/>
      <c r="P474" s="22"/>
      <c r="Q474" s="25"/>
      <c r="R474" s="22"/>
    </row>
    <row r="475" spans="1:18" ht="15.75" customHeight="1" x14ac:dyDescent="0.2">
      <c r="A475" s="22" t="s">
        <v>44</v>
      </c>
      <c r="B475" s="23">
        <v>46232</v>
      </c>
      <c r="C475" s="22" t="s">
        <v>16</v>
      </c>
      <c r="D475" s="22" t="s">
        <v>17</v>
      </c>
      <c r="E475" s="22" t="s">
        <v>14</v>
      </c>
      <c r="F475" s="22" t="s">
        <v>13</v>
      </c>
      <c r="G475" s="24">
        <v>0.76388888888888884</v>
      </c>
      <c r="H475" s="24">
        <f t="shared" si="43"/>
        <v>0.27083333333333331</v>
      </c>
      <c r="I475" s="8">
        <f t="shared" si="44"/>
        <v>-0.49305555555555552</v>
      </c>
      <c r="J475" s="24"/>
      <c r="K475" s="24"/>
      <c r="L475" s="24"/>
      <c r="M475" s="24"/>
      <c r="N475" s="8"/>
      <c r="O475" s="24"/>
      <c r="P475" s="22"/>
      <c r="Q475" s="25"/>
      <c r="R475" s="22"/>
    </row>
    <row r="476" spans="1:18" ht="15.75" customHeight="1" x14ac:dyDescent="0.2">
      <c r="A476" s="22" t="s">
        <v>43</v>
      </c>
      <c r="B476" s="23">
        <v>46233</v>
      </c>
      <c r="C476" s="22" t="s">
        <v>11</v>
      </c>
      <c r="D476" s="22" t="s">
        <v>12</v>
      </c>
      <c r="E476" s="22" t="s">
        <v>13</v>
      </c>
      <c r="F476" s="22" t="s">
        <v>14</v>
      </c>
      <c r="G476" s="24">
        <v>0.27083333333333331</v>
      </c>
      <c r="H476" s="24">
        <f t="shared" si="43"/>
        <v>0.29166666666666669</v>
      </c>
      <c r="I476" s="8">
        <f t="shared" si="44"/>
        <v>2.083333333333337E-2</v>
      </c>
      <c r="J476" s="24"/>
      <c r="K476" s="24"/>
      <c r="L476" s="24"/>
      <c r="M476" s="24"/>
      <c r="N476" s="8"/>
      <c r="O476" s="24"/>
      <c r="P476" s="22"/>
      <c r="Q476" s="25"/>
      <c r="R476" s="22"/>
    </row>
    <row r="477" spans="1:18" ht="15.75" customHeight="1" x14ac:dyDescent="0.2">
      <c r="A477" s="22" t="s">
        <v>43</v>
      </c>
      <c r="B477" s="23">
        <v>46233</v>
      </c>
      <c r="C477" s="22" t="s">
        <v>15</v>
      </c>
      <c r="D477" s="22" t="s">
        <v>12</v>
      </c>
      <c r="E477" s="22" t="s">
        <v>13</v>
      </c>
      <c r="F477" s="22" t="s">
        <v>14</v>
      </c>
      <c r="G477" s="24">
        <v>0.29166666666666669</v>
      </c>
      <c r="H477" s="24">
        <f t="shared" si="43"/>
        <v>0.3125</v>
      </c>
      <c r="I477" s="8">
        <f t="shared" si="44"/>
        <v>2.0833333333333315E-2</v>
      </c>
      <c r="J477" s="24"/>
      <c r="K477" s="24"/>
      <c r="L477" s="24"/>
      <c r="M477" s="24"/>
      <c r="N477" s="8"/>
      <c r="O477" s="24"/>
      <c r="P477" s="22"/>
      <c r="Q477" s="25"/>
      <c r="R477" s="22"/>
    </row>
    <row r="478" spans="1:18" ht="15.75" customHeight="1" x14ac:dyDescent="0.2">
      <c r="A478" s="22" t="s">
        <v>43</v>
      </c>
      <c r="B478" s="23">
        <v>46233</v>
      </c>
      <c r="C478" s="22" t="s">
        <v>16</v>
      </c>
      <c r="D478" s="22" t="s">
        <v>12</v>
      </c>
      <c r="E478" s="22" t="s">
        <v>13</v>
      </c>
      <c r="F478" s="22" t="s">
        <v>14</v>
      </c>
      <c r="G478" s="24">
        <v>0.3125</v>
      </c>
      <c r="H478" s="24">
        <f t="shared" si="43"/>
        <v>0.71527777777777779</v>
      </c>
      <c r="I478" s="8">
        <f t="shared" si="44"/>
        <v>0.40277777777777779</v>
      </c>
      <c r="J478" s="24"/>
      <c r="K478" s="24"/>
      <c r="L478" s="24"/>
      <c r="M478" s="24"/>
      <c r="N478" s="8"/>
      <c r="O478" s="24"/>
      <c r="P478" s="22"/>
      <c r="Q478" s="25"/>
      <c r="R478" s="22"/>
    </row>
    <row r="479" spans="1:18" ht="15.75" customHeight="1" x14ac:dyDescent="0.2">
      <c r="A479" s="22" t="s">
        <v>44</v>
      </c>
      <c r="B479" s="23">
        <v>46233</v>
      </c>
      <c r="C479" s="22" t="s">
        <v>11</v>
      </c>
      <c r="D479" s="22" t="s">
        <v>17</v>
      </c>
      <c r="E479" s="22" t="s">
        <v>14</v>
      </c>
      <c r="F479" s="22" t="s">
        <v>13</v>
      </c>
      <c r="G479" s="24">
        <v>0.71527777777777779</v>
      </c>
      <c r="H479" s="24">
        <f t="shared" si="43"/>
        <v>0.73958333333333337</v>
      </c>
      <c r="I479" s="8">
        <f t="shared" si="44"/>
        <v>2.430555555555558E-2</v>
      </c>
      <c r="J479" s="24"/>
      <c r="K479" s="24"/>
      <c r="L479" s="24"/>
      <c r="M479" s="24"/>
      <c r="N479" s="8"/>
      <c r="O479" s="24"/>
      <c r="P479" s="22"/>
      <c r="Q479" s="25"/>
      <c r="R479" s="22"/>
    </row>
    <row r="480" spans="1:18" ht="15.75" customHeight="1" x14ac:dyDescent="0.2">
      <c r="A480" s="22" t="s">
        <v>44</v>
      </c>
      <c r="B480" s="23">
        <v>46233</v>
      </c>
      <c r="C480" s="22" t="s">
        <v>15</v>
      </c>
      <c r="D480" s="22" t="s">
        <v>17</v>
      </c>
      <c r="E480" s="22" t="s">
        <v>14</v>
      </c>
      <c r="F480" s="22" t="s">
        <v>13</v>
      </c>
      <c r="G480" s="24">
        <v>0.73958333333333337</v>
      </c>
      <c r="H480" s="24">
        <f t="shared" si="43"/>
        <v>0.76388888888888884</v>
      </c>
      <c r="I480" s="8">
        <f t="shared" si="44"/>
        <v>2.4305555555555469E-2</v>
      </c>
      <c r="J480" s="24"/>
      <c r="K480" s="24"/>
      <c r="L480" s="24"/>
      <c r="M480" s="24"/>
      <c r="N480" s="8"/>
      <c r="O480" s="24"/>
      <c r="P480" s="22"/>
      <c r="Q480" s="25"/>
      <c r="R480" s="22"/>
    </row>
    <row r="481" spans="1:18" ht="15.75" customHeight="1" x14ac:dyDescent="0.2">
      <c r="A481" s="22" t="s">
        <v>44</v>
      </c>
      <c r="B481" s="23">
        <v>46233</v>
      </c>
      <c r="C481" s="22" t="s">
        <v>16</v>
      </c>
      <c r="D481" s="22" t="s">
        <v>17</v>
      </c>
      <c r="E481" s="22" t="s">
        <v>14</v>
      </c>
      <c r="F481" s="22" t="s">
        <v>13</v>
      </c>
      <c r="G481" s="24">
        <v>0.76388888888888884</v>
      </c>
      <c r="H481" s="24">
        <f t="shared" si="43"/>
        <v>0.27083333333333331</v>
      </c>
      <c r="I481" s="8">
        <f t="shared" si="44"/>
        <v>-0.49305555555555552</v>
      </c>
      <c r="J481" s="24"/>
      <c r="K481" s="24"/>
      <c r="L481" s="24"/>
      <c r="M481" s="24"/>
      <c r="N481" s="8"/>
      <c r="O481" s="24"/>
      <c r="P481" s="22"/>
      <c r="Q481" s="25"/>
      <c r="R481" s="22"/>
    </row>
    <row r="482" spans="1:18" ht="15.75" customHeight="1" x14ac:dyDescent="0.2">
      <c r="A482" s="22" t="s">
        <v>43</v>
      </c>
      <c r="B482" s="23">
        <v>46234</v>
      </c>
      <c r="C482" s="22" t="s">
        <v>11</v>
      </c>
      <c r="D482" s="22" t="s">
        <v>12</v>
      </c>
      <c r="E482" s="22" t="s">
        <v>13</v>
      </c>
      <c r="F482" s="22" t="s">
        <v>14</v>
      </c>
      <c r="G482" s="24">
        <v>0.27083333333333331</v>
      </c>
      <c r="H482" s="24">
        <f t="shared" si="43"/>
        <v>0.29166666666666669</v>
      </c>
      <c r="I482" s="8">
        <f t="shared" si="44"/>
        <v>2.083333333333337E-2</v>
      </c>
      <c r="J482" s="24"/>
      <c r="K482" s="24"/>
      <c r="L482" s="24"/>
      <c r="M482" s="24"/>
      <c r="N482" s="8"/>
      <c r="O482" s="24"/>
      <c r="P482" s="22"/>
      <c r="Q482" s="25"/>
      <c r="R482" s="22"/>
    </row>
    <row r="483" spans="1:18" ht="15.75" customHeight="1" x14ac:dyDescent="0.2">
      <c r="A483" s="22" t="s">
        <v>43</v>
      </c>
      <c r="B483" s="23">
        <v>46234</v>
      </c>
      <c r="C483" s="22" t="s">
        <v>15</v>
      </c>
      <c r="D483" s="22" t="s">
        <v>12</v>
      </c>
      <c r="E483" s="22" t="s">
        <v>13</v>
      </c>
      <c r="F483" s="22" t="s">
        <v>14</v>
      </c>
      <c r="G483" s="24">
        <v>0.29166666666666669</v>
      </c>
      <c r="H483" s="24">
        <f t="shared" si="43"/>
        <v>0.3125</v>
      </c>
      <c r="I483" s="8">
        <f t="shared" si="44"/>
        <v>2.0833333333333315E-2</v>
      </c>
      <c r="J483" s="24"/>
      <c r="K483" s="24"/>
      <c r="L483" s="24"/>
      <c r="M483" s="24"/>
      <c r="N483" s="8"/>
      <c r="O483" s="24"/>
      <c r="P483" s="22"/>
      <c r="Q483" s="25"/>
      <c r="R483" s="22"/>
    </row>
    <row r="484" spans="1:18" ht="15.75" customHeight="1" x14ac:dyDescent="0.2">
      <c r="A484" s="22" t="s">
        <v>43</v>
      </c>
      <c r="B484" s="23">
        <v>46234</v>
      </c>
      <c r="C484" s="22" t="s">
        <v>16</v>
      </c>
      <c r="D484" s="22" t="s">
        <v>12</v>
      </c>
      <c r="E484" s="22" t="s">
        <v>13</v>
      </c>
      <c r="F484" s="22" t="s">
        <v>14</v>
      </c>
      <c r="G484" s="24">
        <v>0.3125</v>
      </c>
      <c r="H484" s="24">
        <f t="shared" si="43"/>
        <v>0.71527777777777779</v>
      </c>
      <c r="I484" s="8">
        <f t="shared" si="44"/>
        <v>0.40277777777777779</v>
      </c>
      <c r="J484" s="24"/>
      <c r="K484" s="24"/>
      <c r="L484" s="24"/>
      <c r="M484" s="24"/>
      <c r="N484" s="8"/>
      <c r="O484" s="24"/>
      <c r="P484" s="22"/>
      <c r="Q484" s="25"/>
      <c r="R484" s="22"/>
    </row>
    <row r="485" spans="1:18" ht="15.75" customHeight="1" x14ac:dyDescent="0.2">
      <c r="A485" s="22" t="s">
        <v>44</v>
      </c>
      <c r="B485" s="23">
        <v>46234</v>
      </c>
      <c r="C485" s="22" t="s">
        <v>11</v>
      </c>
      <c r="D485" s="22" t="s">
        <v>17</v>
      </c>
      <c r="E485" s="22" t="s">
        <v>14</v>
      </c>
      <c r="F485" s="22" t="s">
        <v>13</v>
      </c>
      <c r="G485" s="24">
        <v>0.71527777777777779</v>
      </c>
      <c r="H485" s="24">
        <f t="shared" si="43"/>
        <v>0.73958333333333337</v>
      </c>
      <c r="I485" s="8">
        <f t="shared" si="44"/>
        <v>2.430555555555558E-2</v>
      </c>
      <c r="J485" s="24"/>
      <c r="K485" s="24"/>
      <c r="L485" s="24"/>
      <c r="M485" s="24"/>
      <c r="N485" s="8"/>
      <c r="O485" s="24"/>
      <c r="P485" s="22"/>
      <c r="Q485" s="25"/>
      <c r="R485" s="22"/>
    </row>
    <row r="486" spans="1:18" ht="15.75" customHeight="1" x14ac:dyDescent="0.2">
      <c r="A486" s="22" t="s">
        <v>44</v>
      </c>
      <c r="B486" s="23">
        <v>46234</v>
      </c>
      <c r="C486" s="22" t="s">
        <v>15</v>
      </c>
      <c r="D486" s="22" t="s">
        <v>17</v>
      </c>
      <c r="E486" s="22" t="s">
        <v>14</v>
      </c>
      <c r="F486" s="22" t="s">
        <v>13</v>
      </c>
      <c r="G486" s="24">
        <v>0.73958333333333337</v>
      </c>
      <c r="H486" s="24">
        <f t="shared" si="43"/>
        <v>0.76388888888888884</v>
      </c>
      <c r="I486" s="8">
        <f t="shared" si="44"/>
        <v>2.4305555555555469E-2</v>
      </c>
      <c r="J486" s="24"/>
      <c r="K486" s="24"/>
      <c r="L486" s="24"/>
      <c r="M486" s="24"/>
      <c r="N486" s="8"/>
      <c r="O486" s="24"/>
      <c r="P486" s="22"/>
      <c r="Q486" s="25"/>
      <c r="R486" s="22"/>
    </row>
    <row r="487" spans="1:18" ht="15.75" customHeight="1" x14ac:dyDescent="0.2">
      <c r="A487" s="22" t="s">
        <v>44</v>
      </c>
      <c r="B487" s="23">
        <v>46234</v>
      </c>
      <c r="C487" s="22" t="s">
        <v>16</v>
      </c>
      <c r="D487" s="22" t="s">
        <v>17</v>
      </c>
      <c r="E487" s="22" t="s">
        <v>14</v>
      </c>
      <c r="F487" s="22" t="s">
        <v>13</v>
      </c>
      <c r="G487" s="24">
        <v>0.76388888888888884</v>
      </c>
      <c r="H487" s="24">
        <f>G487+I486</f>
        <v>0.78819444444444431</v>
      </c>
      <c r="I487" s="8">
        <f>+H487-G487</f>
        <v>2.4305555555555469E-2</v>
      </c>
      <c r="J487" s="24"/>
      <c r="K487" s="24"/>
      <c r="L487" s="24"/>
      <c r="M487" s="24"/>
      <c r="N487" s="8"/>
      <c r="O487" s="24"/>
      <c r="P487" s="22"/>
      <c r="Q487" s="25"/>
      <c r="R487" s="22"/>
    </row>
  </sheetData>
  <autoFilter ref="A1:S487" xr:uid="{151751B4-BA6E-4A34-9114-2ABF45813D1B}"/>
  <conditionalFormatting sqref="A2:XFD2 A3:G55 S3:XFD55 Q20:Q22 Q404:Q406 Q416:Q418 Q440:Q442 Q446:Q448 Q452:Q454 Q458:Q460 Q464:Q466 Q470:Q472 Q476:Q478 Q482:Q484 H451:N486 O451:O487 H3:O450">
    <cfRule type="cellIs" dxfId="8" priority="202" operator="equal">
      <formula>"JM"</formula>
    </cfRule>
  </conditionalFormatting>
  <conditionalFormatting sqref="C56:G486 C487:N487">
    <cfRule type="cellIs" dxfId="7" priority="9" operator="equal">
      <formula>"JM"</formula>
    </cfRule>
  </conditionalFormatting>
  <conditionalFormatting sqref="P157:P160 P161:Q174 Q265:Q281 Q306:Q317 Q319:Q353 Q362:Q376 Q427:Q435 P176:Q180 P175 P182:Q227 P181 P229:Q239 P228 P241:Q252 P240">
    <cfRule type="cellIs" dxfId="6" priority="36" operator="equal">
      <formula>"JM"</formula>
    </cfRule>
  </conditionalFormatting>
  <conditionalFormatting sqref="P253:P487">
    <cfRule type="cellIs" dxfId="5" priority="12" operator="equal">
      <formula>"JM"</formula>
    </cfRule>
  </conditionalFormatting>
  <conditionalFormatting sqref="P3:Q19 P20:P23 P152:P155 Q152:Q160 Q289:Q293 Q295:Q298 Q301:Q304 Q355:Q360 Q379:Q383 Q385:Q389 Q409:Q414 Q420:Q424 P24:Q151 Q175 Q181 Q228 Q240 Q282:Q287 Q391:Q400 Q402 Q426 Q436 Q438 Q450">
    <cfRule type="cellIs" dxfId="4" priority="127" operator="equal">
      <formula>"JM"</formula>
    </cfRule>
  </conditionalFormatting>
  <conditionalFormatting sqref="Q253:Q263">
    <cfRule type="cellIs" dxfId="3" priority="35" operator="equal">
      <formula>"JM"</formula>
    </cfRule>
  </conditionalFormatting>
  <conditionalFormatting sqref="R3:R487 A56:A409">
    <cfRule type="cellIs" dxfId="2" priority="225" operator="equal">
      <formula>"JM"</formula>
    </cfRule>
  </conditionalFormatting>
  <conditionalFormatting sqref="Q305">
    <cfRule type="cellIs" dxfId="1" priority="2" operator="equal">
      <formula>"JM"</formula>
    </cfRule>
  </conditionalFormatting>
  <pageMargins left="0.7" right="0.7" top="0.75" bottom="0.75" header="0.3" footer="0.3"/>
  <headerFooter>
    <oddFooter>&amp;L_x000D_&amp;1#&amp;"Aptos"&amp;10&amp;KFFFF00 Documento Privado -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dinamica</vt:lpstr>
      <vt:lpstr>Hoja1</vt:lpstr>
      <vt:lpstr>fest</vt:lpstr>
      <vt:lpstr>seguimiento_h_op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Anyi Carolina Rodriguez Peña</dc:creator>
  <cp:keywords/>
  <dc:description/>
  <cp:lastModifiedBy>Anyi Carolina Rodriguez Peña</cp:lastModifiedBy>
  <cp:revision/>
  <dcterms:created xsi:type="dcterms:W3CDTF">2026-03-26T18:35:20Z</dcterms:created>
  <dcterms:modified xsi:type="dcterms:W3CDTF">2026-07-27T16:29:54Z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0296c6-b4e2-4901-8759-ffda90c92767_Enabled">
    <vt:lpwstr>true</vt:lpwstr>
  </property>
  <property fmtid="{D5CDD505-2E9C-101B-9397-08002B2CF9AE}" pid="3" name="MSIP_Label_5e0296c6-b4e2-4901-8759-ffda90c92767_SetDate">
    <vt:lpwstr>2026-07-15T14:25:52Z</vt:lpwstr>
  </property>
  <property fmtid="{D5CDD505-2E9C-101B-9397-08002B2CF9AE}" pid="4" name="MSIP_Label_5e0296c6-b4e2-4901-8759-ffda90c92767_Method">
    <vt:lpwstr>Standard</vt:lpwstr>
  </property>
  <property fmtid="{D5CDD505-2E9C-101B-9397-08002B2CF9AE}" pid="5" name="MSIP_Label_5e0296c6-b4e2-4901-8759-ffda90c92767_Name">
    <vt:lpwstr>Privado</vt:lpwstr>
  </property>
  <property fmtid="{D5CDD505-2E9C-101B-9397-08002B2CF9AE}" pid="6" name="MSIP_Label_5e0296c6-b4e2-4901-8759-ffda90c92767_SiteId">
    <vt:lpwstr>38cb1598-762b-483f-85a7-a22892d0bbb6</vt:lpwstr>
  </property>
  <property fmtid="{D5CDD505-2E9C-101B-9397-08002B2CF9AE}" pid="7" name="MSIP_Label_5e0296c6-b4e2-4901-8759-ffda90c92767_ActionId">
    <vt:lpwstr>d0c84e76-ddb3-4273-99df-a06a97d4e7c5</vt:lpwstr>
  </property>
  <property fmtid="{D5CDD505-2E9C-101B-9397-08002B2CF9AE}" pid="8" name="MSIP_Label_5e0296c6-b4e2-4901-8759-ffda90c92767_ContentBits">
    <vt:lpwstr>2</vt:lpwstr>
  </property>
  <property fmtid="{D5CDD505-2E9C-101B-9397-08002B2CF9AE}" pid="9" name="MSIP_Label_5e0296c6-b4e2-4901-8759-ffda90c92767_Tag">
    <vt:lpwstr>10, 3, 0, 2</vt:lpwstr>
  </property>
</Properties>
</file>